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42\EXCELCNV\8e7b2409-c416-4a36-8313-34379cbde1cc\"/>
    </mc:Choice>
  </mc:AlternateContent>
  <xr:revisionPtr revIDLastSave="0" documentId="8_{B5C7CC85-A269-4656-8922-7CB19179611E}" xr6:coauthVersionLast="47" xr6:coauthVersionMax="47" xr10:uidLastSave="{00000000-0000-0000-0000-000000000000}"/>
  <bookViews>
    <workbookView xWindow="-60" yWindow="-60" windowWidth="15480" windowHeight="11640" firstSheet="4" activeTab="6" xr2:uid="{00000000-000D-0000-FFFF-FFFF00000000}"/>
  </bookViews>
  <sheets>
    <sheet name="Ex.excel01" sheetId="1" r:id="rId1"/>
    <sheet name="Ex.excel02" sheetId="2" r:id="rId2"/>
    <sheet name="Ex.excel03" sheetId="3" r:id="rId3"/>
    <sheet name="Ex.excel04" sheetId="4" r:id="rId4"/>
    <sheet name="Base_Limpa" sheetId="5" r:id="rId5"/>
    <sheet name="Registro_Limpeza" sheetId="6" r:id="rId6"/>
    <sheet name="Atividade Extra" sheetId="7" r:id="rId7"/>
    <sheet name="Dados da análise" sheetId="8" r:id="rId8"/>
  </sheets>
  <externalReferences>
    <externalReference r:id="rId9"/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7" l="1"/>
  <c r="B10" i="7"/>
  <c r="B11" i="7"/>
  <c r="B9" i="7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2" i="5"/>
  <c r="P401" i="5"/>
  <c r="N401" i="5"/>
  <c r="O401" i="5" s="1"/>
  <c r="Q401" i="5" s="1"/>
  <c r="P400" i="5"/>
  <c r="N400" i="5"/>
  <c r="O400" i="5" s="1"/>
  <c r="Q400" i="5" s="1"/>
  <c r="P399" i="5"/>
  <c r="N399" i="5"/>
  <c r="O399" i="5" s="1"/>
  <c r="Q399" i="5" s="1"/>
  <c r="P398" i="5"/>
  <c r="N398" i="5"/>
  <c r="O398" i="5" s="1"/>
  <c r="Q398" i="5" s="1"/>
  <c r="P397" i="5"/>
  <c r="N397" i="5"/>
  <c r="O397" i="5" s="1"/>
  <c r="Q397" i="5" s="1"/>
  <c r="P396" i="5"/>
  <c r="N396" i="5"/>
  <c r="O396" i="5" s="1"/>
  <c r="Q396" i="5" s="1"/>
  <c r="P395" i="5"/>
  <c r="N395" i="5"/>
  <c r="O395" i="5" s="1"/>
  <c r="Q395" i="5" s="1"/>
  <c r="P394" i="5"/>
  <c r="N394" i="5"/>
  <c r="O394" i="5" s="1"/>
  <c r="Q394" i="5" s="1"/>
  <c r="P393" i="5"/>
  <c r="N393" i="5"/>
  <c r="O393" i="5" s="1"/>
  <c r="Q393" i="5" s="1"/>
  <c r="P392" i="5"/>
  <c r="N392" i="5"/>
  <c r="O392" i="5" s="1"/>
  <c r="Q392" i="5" s="1"/>
  <c r="P391" i="5"/>
  <c r="N391" i="5"/>
  <c r="O391" i="5" s="1"/>
  <c r="Q391" i="5" s="1"/>
  <c r="P390" i="5"/>
  <c r="N390" i="5"/>
  <c r="O390" i="5" s="1"/>
  <c r="Q390" i="5" s="1"/>
  <c r="P389" i="5"/>
  <c r="N389" i="5"/>
  <c r="O389" i="5" s="1"/>
  <c r="Q389" i="5" s="1"/>
  <c r="P388" i="5"/>
  <c r="N388" i="5"/>
  <c r="O388" i="5" s="1"/>
  <c r="Q388" i="5" s="1"/>
  <c r="P387" i="5"/>
  <c r="N387" i="5"/>
  <c r="O387" i="5" s="1"/>
  <c r="Q387" i="5" s="1"/>
  <c r="P386" i="5"/>
  <c r="N386" i="5"/>
  <c r="O386" i="5" s="1"/>
  <c r="Q386" i="5" s="1"/>
  <c r="P385" i="5"/>
  <c r="N385" i="5"/>
  <c r="O385" i="5" s="1"/>
  <c r="Q385" i="5" s="1"/>
  <c r="P384" i="5"/>
  <c r="N384" i="5"/>
  <c r="O384" i="5" s="1"/>
  <c r="Q384" i="5" s="1"/>
  <c r="P383" i="5"/>
  <c r="N383" i="5"/>
  <c r="O383" i="5" s="1"/>
  <c r="Q383" i="5" s="1"/>
  <c r="P382" i="5"/>
  <c r="N382" i="5"/>
  <c r="O382" i="5" s="1"/>
  <c r="Q382" i="5" s="1"/>
  <c r="P381" i="5"/>
  <c r="N381" i="5"/>
  <c r="O381" i="5" s="1"/>
  <c r="Q381" i="5" s="1"/>
  <c r="P380" i="5"/>
  <c r="N380" i="5"/>
  <c r="O380" i="5" s="1"/>
  <c r="Q380" i="5" s="1"/>
  <c r="P379" i="5"/>
  <c r="N379" i="5"/>
  <c r="O379" i="5" s="1"/>
  <c r="Q379" i="5" s="1"/>
  <c r="P378" i="5"/>
  <c r="N378" i="5"/>
  <c r="O378" i="5" s="1"/>
  <c r="Q378" i="5" s="1"/>
  <c r="P377" i="5"/>
  <c r="N377" i="5"/>
  <c r="O377" i="5" s="1"/>
  <c r="Q377" i="5" s="1"/>
  <c r="P376" i="5"/>
  <c r="N376" i="5"/>
  <c r="O376" i="5" s="1"/>
  <c r="Q376" i="5" s="1"/>
  <c r="P375" i="5"/>
  <c r="N375" i="5"/>
  <c r="O375" i="5" s="1"/>
  <c r="Q375" i="5" s="1"/>
  <c r="P374" i="5"/>
  <c r="N374" i="5"/>
  <c r="O374" i="5" s="1"/>
  <c r="Q374" i="5" s="1"/>
  <c r="P373" i="5"/>
  <c r="N373" i="5"/>
  <c r="O373" i="5" s="1"/>
  <c r="Q373" i="5" s="1"/>
  <c r="P372" i="5"/>
  <c r="N372" i="5"/>
  <c r="O372" i="5" s="1"/>
  <c r="Q372" i="5" s="1"/>
  <c r="P371" i="5"/>
  <c r="N371" i="5"/>
  <c r="O371" i="5" s="1"/>
  <c r="Q371" i="5" s="1"/>
  <c r="P370" i="5"/>
  <c r="N370" i="5"/>
  <c r="O370" i="5" s="1"/>
  <c r="Q370" i="5" s="1"/>
  <c r="P369" i="5"/>
  <c r="N369" i="5"/>
  <c r="O369" i="5" s="1"/>
  <c r="Q369" i="5" s="1"/>
  <c r="P368" i="5"/>
  <c r="N368" i="5"/>
  <c r="O368" i="5" s="1"/>
  <c r="Q368" i="5" s="1"/>
  <c r="P367" i="5"/>
  <c r="N367" i="5"/>
  <c r="O367" i="5" s="1"/>
  <c r="Q367" i="5" s="1"/>
  <c r="P366" i="5"/>
  <c r="N366" i="5"/>
  <c r="O366" i="5" s="1"/>
  <c r="Q366" i="5" s="1"/>
  <c r="P365" i="5"/>
  <c r="N365" i="5"/>
  <c r="O365" i="5" s="1"/>
  <c r="Q365" i="5" s="1"/>
  <c r="P364" i="5"/>
  <c r="N364" i="5"/>
  <c r="O364" i="5" s="1"/>
  <c r="Q364" i="5" s="1"/>
  <c r="P363" i="5"/>
  <c r="N363" i="5"/>
  <c r="O363" i="5" s="1"/>
  <c r="Q363" i="5" s="1"/>
  <c r="P362" i="5"/>
  <c r="N362" i="5"/>
  <c r="O362" i="5" s="1"/>
  <c r="Q362" i="5" s="1"/>
  <c r="P361" i="5"/>
  <c r="N361" i="5"/>
  <c r="O361" i="5" s="1"/>
  <c r="Q361" i="5" s="1"/>
  <c r="P360" i="5"/>
  <c r="N360" i="5"/>
  <c r="O360" i="5" s="1"/>
  <c r="Q360" i="5" s="1"/>
  <c r="P359" i="5"/>
  <c r="N359" i="5"/>
  <c r="O359" i="5" s="1"/>
  <c r="Q359" i="5" s="1"/>
  <c r="P358" i="5"/>
  <c r="N358" i="5"/>
  <c r="O358" i="5" s="1"/>
  <c r="Q358" i="5" s="1"/>
  <c r="P357" i="5"/>
  <c r="N357" i="5"/>
  <c r="O357" i="5" s="1"/>
  <c r="Q357" i="5" s="1"/>
  <c r="P356" i="5"/>
  <c r="N356" i="5"/>
  <c r="O356" i="5" s="1"/>
  <c r="Q356" i="5" s="1"/>
  <c r="P355" i="5"/>
  <c r="N355" i="5"/>
  <c r="O355" i="5" s="1"/>
  <c r="Q355" i="5" s="1"/>
  <c r="P354" i="5"/>
  <c r="N354" i="5"/>
  <c r="O354" i="5" s="1"/>
  <c r="Q354" i="5" s="1"/>
  <c r="P353" i="5"/>
  <c r="N353" i="5"/>
  <c r="O353" i="5" s="1"/>
  <c r="Q353" i="5" s="1"/>
  <c r="P352" i="5"/>
  <c r="N352" i="5"/>
  <c r="O352" i="5" s="1"/>
  <c r="Q352" i="5" s="1"/>
  <c r="P351" i="5"/>
  <c r="N351" i="5"/>
  <c r="O351" i="5" s="1"/>
  <c r="Q351" i="5" s="1"/>
  <c r="P350" i="5"/>
  <c r="N350" i="5"/>
  <c r="O350" i="5" s="1"/>
  <c r="Q350" i="5" s="1"/>
  <c r="P349" i="5"/>
  <c r="N349" i="5"/>
  <c r="O349" i="5" s="1"/>
  <c r="Q349" i="5" s="1"/>
  <c r="P348" i="5"/>
  <c r="N348" i="5"/>
  <c r="O348" i="5" s="1"/>
  <c r="Q348" i="5" s="1"/>
  <c r="P347" i="5"/>
  <c r="N347" i="5"/>
  <c r="O347" i="5" s="1"/>
  <c r="Q347" i="5" s="1"/>
  <c r="P346" i="5"/>
  <c r="N346" i="5"/>
  <c r="O346" i="5" s="1"/>
  <c r="Q346" i="5" s="1"/>
  <c r="P345" i="5"/>
  <c r="N345" i="5"/>
  <c r="O345" i="5" s="1"/>
  <c r="Q345" i="5" s="1"/>
  <c r="P344" i="5"/>
  <c r="N344" i="5"/>
  <c r="O344" i="5" s="1"/>
  <c r="Q344" i="5" s="1"/>
  <c r="P343" i="5"/>
  <c r="N343" i="5"/>
  <c r="O343" i="5" s="1"/>
  <c r="Q343" i="5" s="1"/>
  <c r="P342" i="5"/>
  <c r="N342" i="5"/>
  <c r="O342" i="5" s="1"/>
  <c r="Q342" i="5" s="1"/>
  <c r="P341" i="5"/>
  <c r="N341" i="5"/>
  <c r="O341" i="5" s="1"/>
  <c r="Q341" i="5" s="1"/>
  <c r="P340" i="5"/>
  <c r="N340" i="5"/>
  <c r="O340" i="5" s="1"/>
  <c r="Q340" i="5" s="1"/>
  <c r="P339" i="5"/>
  <c r="N339" i="5"/>
  <c r="O339" i="5" s="1"/>
  <c r="Q339" i="5" s="1"/>
  <c r="P338" i="5"/>
  <c r="N338" i="5"/>
  <c r="O338" i="5" s="1"/>
  <c r="Q338" i="5" s="1"/>
  <c r="P337" i="5"/>
  <c r="N337" i="5"/>
  <c r="O337" i="5" s="1"/>
  <c r="Q337" i="5" s="1"/>
  <c r="P336" i="5"/>
  <c r="N336" i="5"/>
  <c r="O336" i="5" s="1"/>
  <c r="Q336" i="5" s="1"/>
  <c r="P335" i="5"/>
  <c r="N335" i="5"/>
  <c r="O335" i="5" s="1"/>
  <c r="Q335" i="5" s="1"/>
  <c r="P334" i="5"/>
  <c r="N334" i="5"/>
  <c r="O334" i="5" s="1"/>
  <c r="Q334" i="5" s="1"/>
  <c r="P333" i="5"/>
  <c r="N333" i="5"/>
  <c r="O333" i="5" s="1"/>
  <c r="Q333" i="5" s="1"/>
  <c r="P332" i="5"/>
  <c r="N332" i="5"/>
  <c r="O332" i="5" s="1"/>
  <c r="Q332" i="5" s="1"/>
  <c r="P331" i="5"/>
  <c r="N331" i="5"/>
  <c r="O331" i="5" s="1"/>
  <c r="Q331" i="5" s="1"/>
  <c r="P330" i="5"/>
  <c r="N330" i="5"/>
  <c r="O330" i="5" s="1"/>
  <c r="Q330" i="5" s="1"/>
  <c r="P329" i="5"/>
  <c r="N329" i="5"/>
  <c r="O329" i="5" s="1"/>
  <c r="Q329" i="5" s="1"/>
  <c r="P328" i="5"/>
  <c r="N328" i="5"/>
  <c r="O328" i="5" s="1"/>
  <c r="Q328" i="5" s="1"/>
  <c r="P327" i="5"/>
  <c r="N327" i="5"/>
  <c r="O327" i="5" s="1"/>
  <c r="Q327" i="5" s="1"/>
  <c r="P326" i="5"/>
  <c r="N326" i="5"/>
  <c r="O326" i="5" s="1"/>
  <c r="Q326" i="5" s="1"/>
  <c r="P325" i="5"/>
  <c r="N325" i="5"/>
  <c r="O325" i="5" s="1"/>
  <c r="Q325" i="5" s="1"/>
  <c r="P324" i="5"/>
  <c r="N324" i="5"/>
  <c r="O324" i="5" s="1"/>
  <c r="Q324" i="5" s="1"/>
  <c r="P323" i="5"/>
  <c r="N323" i="5"/>
  <c r="O323" i="5" s="1"/>
  <c r="Q323" i="5" s="1"/>
  <c r="P322" i="5"/>
  <c r="N322" i="5"/>
  <c r="O322" i="5" s="1"/>
  <c r="Q322" i="5" s="1"/>
  <c r="P321" i="5"/>
  <c r="N321" i="5"/>
  <c r="O321" i="5" s="1"/>
  <c r="Q321" i="5" s="1"/>
  <c r="P320" i="5"/>
  <c r="N320" i="5"/>
  <c r="O320" i="5" s="1"/>
  <c r="Q320" i="5" s="1"/>
  <c r="P319" i="5"/>
  <c r="N319" i="5"/>
  <c r="O319" i="5" s="1"/>
  <c r="Q319" i="5" s="1"/>
  <c r="P318" i="5"/>
  <c r="N318" i="5"/>
  <c r="O318" i="5" s="1"/>
  <c r="Q318" i="5" s="1"/>
  <c r="P317" i="5"/>
  <c r="N317" i="5"/>
  <c r="O317" i="5" s="1"/>
  <c r="Q317" i="5" s="1"/>
  <c r="P316" i="5"/>
  <c r="N316" i="5"/>
  <c r="O316" i="5" s="1"/>
  <c r="Q316" i="5" s="1"/>
  <c r="P315" i="5"/>
  <c r="N315" i="5"/>
  <c r="O315" i="5" s="1"/>
  <c r="Q315" i="5" s="1"/>
  <c r="P314" i="5"/>
  <c r="N314" i="5"/>
  <c r="O314" i="5" s="1"/>
  <c r="Q314" i="5" s="1"/>
  <c r="P313" i="5"/>
  <c r="N313" i="5"/>
  <c r="O313" i="5" s="1"/>
  <c r="Q313" i="5" s="1"/>
  <c r="P312" i="5"/>
  <c r="N312" i="5"/>
  <c r="O312" i="5" s="1"/>
  <c r="Q312" i="5" s="1"/>
  <c r="P311" i="5"/>
  <c r="N311" i="5"/>
  <c r="O311" i="5" s="1"/>
  <c r="Q311" i="5" s="1"/>
  <c r="P310" i="5"/>
  <c r="N310" i="5"/>
  <c r="O310" i="5" s="1"/>
  <c r="Q310" i="5" s="1"/>
  <c r="P309" i="5"/>
  <c r="N309" i="5"/>
  <c r="O309" i="5" s="1"/>
  <c r="Q309" i="5" s="1"/>
  <c r="P308" i="5"/>
  <c r="N308" i="5"/>
  <c r="O308" i="5" s="1"/>
  <c r="Q308" i="5" s="1"/>
  <c r="P307" i="5"/>
  <c r="N307" i="5"/>
  <c r="O307" i="5" s="1"/>
  <c r="Q307" i="5" s="1"/>
  <c r="P306" i="5"/>
  <c r="N306" i="5"/>
  <c r="O306" i="5" s="1"/>
  <c r="Q306" i="5" s="1"/>
  <c r="P305" i="5"/>
  <c r="N305" i="5"/>
  <c r="O305" i="5" s="1"/>
  <c r="Q305" i="5" s="1"/>
  <c r="P304" i="5"/>
  <c r="N304" i="5"/>
  <c r="O304" i="5" s="1"/>
  <c r="Q304" i="5" s="1"/>
  <c r="P303" i="5"/>
  <c r="N303" i="5"/>
  <c r="O303" i="5" s="1"/>
  <c r="Q303" i="5" s="1"/>
  <c r="P302" i="5"/>
  <c r="N302" i="5"/>
  <c r="O302" i="5" s="1"/>
  <c r="Q302" i="5" s="1"/>
  <c r="P301" i="5"/>
  <c r="N301" i="5"/>
  <c r="O301" i="5" s="1"/>
  <c r="Q301" i="5" s="1"/>
  <c r="P300" i="5"/>
  <c r="N300" i="5"/>
  <c r="O300" i="5" s="1"/>
  <c r="Q300" i="5" s="1"/>
  <c r="P299" i="5"/>
  <c r="N299" i="5"/>
  <c r="O299" i="5" s="1"/>
  <c r="Q299" i="5" s="1"/>
  <c r="P298" i="5"/>
  <c r="N298" i="5"/>
  <c r="O298" i="5" s="1"/>
  <c r="Q298" i="5" s="1"/>
  <c r="P297" i="5"/>
  <c r="N297" i="5"/>
  <c r="O297" i="5" s="1"/>
  <c r="Q297" i="5" s="1"/>
  <c r="P296" i="5"/>
  <c r="N296" i="5"/>
  <c r="O296" i="5" s="1"/>
  <c r="Q296" i="5" s="1"/>
  <c r="P295" i="5"/>
  <c r="N295" i="5"/>
  <c r="O295" i="5" s="1"/>
  <c r="Q295" i="5" s="1"/>
  <c r="P294" i="5"/>
  <c r="N294" i="5"/>
  <c r="O294" i="5" s="1"/>
  <c r="Q294" i="5" s="1"/>
  <c r="P293" i="5"/>
  <c r="N293" i="5"/>
  <c r="O293" i="5" s="1"/>
  <c r="Q293" i="5" s="1"/>
  <c r="P292" i="5"/>
  <c r="N292" i="5"/>
  <c r="O292" i="5" s="1"/>
  <c r="Q292" i="5" s="1"/>
  <c r="P291" i="5"/>
  <c r="N291" i="5"/>
  <c r="O291" i="5" s="1"/>
  <c r="Q291" i="5" s="1"/>
  <c r="P290" i="5"/>
  <c r="N290" i="5"/>
  <c r="O290" i="5" s="1"/>
  <c r="Q290" i="5" s="1"/>
  <c r="P289" i="5"/>
  <c r="N289" i="5"/>
  <c r="O289" i="5" s="1"/>
  <c r="Q289" i="5" s="1"/>
  <c r="P288" i="5"/>
  <c r="N288" i="5"/>
  <c r="O288" i="5" s="1"/>
  <c r="Q288" i="5" s="1"/>
  <c r="P287" i="5"/>
  <c r="N287" i="5"/>
  <c r="O287" i="5" s="1"/>
  <c r="Q287" i="5" s="1"/>
  <c r="P286" i="5"/>
  <c r="N286" i="5"/>
  <c r="O286" i="5" s="1"/>
  <c r="Q286" i="5" s="1"/>
  <c r="P285" i="5"/>
  <c r="N285" i="5"/>
  <c r="O285" i="5" s="1"/>
  <c r="Q285" i="5" s="1"/>
  <c r="P284" i="5"/>
  <c r="N284" i="5"/>
  <c r="O284" i="5" s="1"/>
  <c r="Q284" i="5" s="1"/>
  <c r="P283" i="5"/>
  <c r="N283" i="5"/>
  <c r="O283" i="5" s="1"/>
  <c r="Q283" i="5" s="1"/>
  <c r="P282" i="5"/>
  <c r="N282" i="5"/>
  <c r="O282" i="5" s="1"/>
  <c r="Q282" i="5" s="1"/>
  <c r="P281" i="5"/>
  <c r="N281" i="5"/>
  <c r="O281" i="5" s="1"/>
  <c r="Q281" i="5" s="1"/>
  <c r="P280" i="5"/>
  <c r="N280" i="5"/>
  <c r="O280" i="5" s="1"/>
  <c r="Q280" i="5" s="1"/>
  <c r="P279" i="5"/>
  <c r="N279" i="5"/>
  <c r="O279" i="5" s="1"/>
  <c r="Q279" i="5" s="1"/>
  <c r="P278" i="5"/>
  <c r="N278" i="5"/>
  <c r="O278" i="5" s="1"/>
  <c r="Q278" i="5" s="1"/>
  <c r="P277" i="5"/>
  <c r="N277" i="5"/>
  <c r="O277" i="5" s="1"/>
  <c r="Q277" i="5" s="1"/>
  <c r="P276" i="5"/>
  <c r="N276" i="5"/>
  <c r="O276" i="5" s="1"/>
  <c r="Q276" i="5" s="1"/>
  <c r="P275" i="5"/>
  <c r="N275" i="5"/>
  <c r="O275" i="5" s="1"/>
  <c r="Q275" i="5" s="1"/>
  <c r="P274" i="5"/>
  <c r="N274" i="5"/>
  <c r="O274" i="5" s="1"/>
  <c r="Q274" i="5" s="1"/>
  <c r="P273" i="5"/>
  <c r="N273" i="5"/>
  <c r="O273" i="5" s="1"/>
  <c r="Q273" i="5" s="1"/>
  <c r="P272" i="5"/>
  <c r="N272" i="5"/>
  <c r="O272" i="5" s="1"/>
  <c r="Q272" i="5" s="1"/>
  <c r="P271" i="5"/>
  <c r="N271" i="5"/>
  <c r="O271" i="5" s="1"/>
  <c r="Q271" i="5" s="1"/>
  <c r="P270" i="5"/>
  <c r="N270" i="5"/>
  <c r="O270" i="5" s="1"/>
  <c r="Q270" i="5" s="1"/>
  <c r="P269" i="5"/>
  <c r="N269" i="5"/>
  <c r="O269" i="5" s="1"/>
  <c r="Q269" i="5" s="1"/>
  <c r="P268" i="5"/>
  <c r="N268" i="5"/>
  <c r="O268" i="5" s="1"/>
  <c r="Q268" i="5" s="1"/>
  <c r="P267" i="5"/>
  <c r="N267" i="5"/>
  <c r="O267" i="5" s="1"/>
  <c r="Q267" i="5" s="1"/>
  <c r="P266" i="5"/>
  <c r="N266" i="5"/>
  <c r="O266" i="5" s="1"/>
  <c r="Q266" i="5" s="1"/>
  <c r="P265" i="5"/>
  <c r="N265" i="5"/>
  <c r="O265" i="5" s="1"/>
  <c r="Q265" i="5" s="1"/>
  <c r="P264" i="5"/>
  <c r="N264" i="5"/>
  <c r="O264" i="5" s="1"/>
  <c r="Q264" i="5" s="1"/>
  <c r="P263" i="5"/>
  <c r="N263" i="5"/>
  <c r="O263" i="5" s="1"/>
  <c r="Q263" i="5" s="1"/>
  <c r="P262" i="5"/>
  <c r="N262" i="5"/>
  <c r="O262" i="5" s="1"/>
  <c r="Q262" i="5" s="1"/>
  <c r="P261" i="5"/>
  <c r="N261" i="5"/>
  <c r="O261" i="5" s="1"/>
  <c r="Q261" i="5" s="1"/>
  <c r="P260" i="5"/>
  <c r="N260" i="5"/>
  <c r="O260" i="5" s="1"/>
  <c r="Q260" i="5" s="1"/>
  <c r="P259" i="5"/>
  <c r="N259" i="5"/>
  <c r="O259" i="5" s="1"/>
  <c r="Q259" i="5" s="1"/>
  <c r="P258" i="5"/>
  <c r="N258" i="5"/>
  <c r="O258" i="5" s="1"/>
  <c r="Q258" i="5" s="1"/>
  <c r="P257" i="5"/>
  <c r="N257" i="5"/>
  <c r="O257" i="5" s="1"/>
  <c r="Q257" i="5" s="1"/>
  <c r="P256" i="5"/>
  <c r="N256" i="5"/>
  <c r="O256" i="5" s="1"/>
  <c r="Q256" i="5" s="1"/>
  <c r="P255" i="5"/>
  <c r="N255" i="5"/>
  <c r="O255" i="5" s="1"/>
  <c r="Q255" i="5" s="1"/>
  <c r="P254" i="5"/>
  <c r="N254" i="5"/>
  <c r="O254" i="5" s="1"/>
  <c r="Q254" i="5" s="1"/>
  <c r="P253" i="5"/>
  <c r="N253" i="5"/>
  <c r="O253" i="5" s="1"/>
  <c r="Q253" i="5" s="1"/>
  <c r="P252" i="5"/>
  <c r="N252" i="5"/>
  <c r="O252" i="5" s="1"/>
  <c r="Q252" i="5" s="1"/>
  <c r="P251" i="5"/>
  <c r="N251" i="5"/>
  <c r="O251" i="5" s="1"/>
  <c r="Q251" i="5" s="1"/>
  <c r="P250" i="5"/>
  <c r="N250" i="5"/>
  <c r="O250" i="5" s="1"/>
  <c r="Q250" i="5" s="1"/>
  <c r="P249" i="5"/>
  <c r="N249" i="5"/>
  <c r="O249" i="5" s="1"/>
  <c r="Q249" i="5" s="1"/>
  <c r="P248" i="5"/>
  <c r="N248" i="5"/>
  <c r="O248" i="5" s="1"/>
  <c r="Q248" i="5" s="1"/>
  <c r="P247" i="5"/>
  <c r="N247" i="5"/>
  <c r="O247" i="5" s="1"/>
  <c r="Q247" i="5" s="1"/>
  <c r="P246" i="5"/>
  <c r="N246" i="5"/>
  <c r="O246" i="5" s="1"/>
  <c r="Q246" i="5" s="1"/>
  <c r="P245" i="5"/>
  <c r="N245" i="5"/>
  <c r="O245" i="5" s="1"/>
  <c r="Q245" i="5" s="1"/>
  <c r="P244" i="5"/>
  <c r="N244" i="5"/>
  <c r="O244" i="5" s="1"/>
  <c r="Q244" i="5" s="1"/>
  <c r="P243" i="5"/>
  <c r="N243" i="5"/>
  <c r="O243" i="5" s="1"/>
  <c r="Q243" i="5" s="1"/>
  <c r="P242" i="5"/>
  <c r="N242" i="5"/>
  <c r="O242" i="5" s="1"/>
  <c r="Q242" i="5" s="1"/>
  <c r="P241" i="5"/>
  <c r="N241" i="5"/>
  <c r="O241" i="5" s="1"/>
  <c r="Q241" i="5" s="1"/>
  <c r="P240" i="5"/>
  <c r="N240" i="5"/>
  <c r="O240" i="5" s="1"/>
  <c r="Q240" i="5" s="1"/>
  <c r="P239" i="5"/>
  <c r="N239" i="5"/>
  <c r="O239" i="5" s="1"/>
  <c r="Q239" i="5" s="1"/>
  <c r="P238" i="5"/>
  <c r="N238" i="5"/>
  <c r="O238" i="5" s="1"/>
  <c r="Q238" i="5" s="1"/>
  <c r="P237" i="5"/>
  <c r="N237" i="5"/>
  <c r="O237" i="5" s="1"/>
  <c r="Q237" i="5" s="1"/>
  <c r="P236" i="5"/>
  <c r="N236" i="5"/>
  <c r="O236" i="5" s="1"/>
  <c r="Q236" i="5" s="1"/>
  <c r="P235" i="5"/>
  <c r="N235" i="5"/>
  <c r="O235" i="5" s="1"/>
  <c r="Q235" i="5" s="1"/>
  <c r="P234" i="5"/>
  <c r="N234" i="5"/>
  <c r="O234" i="5" s="1"/>
  <c r="Q234" i="5" s="1"/>
  <c r="P233" i="5"/>
  <c r="N233" i="5"/>
  <c r="O233" i="5" s="1"/>
  <c r="Q233" i="5" s="1"/>
  <c r="P232" i="5"/>
  <c r="N232" i="5"/>
  <c r="O232" i="5" s="1"/>
  <c r="Q232" i="5" s="1"/>
  <c r="P231" i="5"/>
  <c r="N231" i="5"/>
  <c r="O231" i="5" s="1"/>
  <c r="Q231" i="5" s="1"/>
  <c r="P230" i="5"/>
  <c r="N230" i="5"/>
  <c r="O230" i="5" s="1"/>
  <c r="Q230" i="5" s="1"/>
  <c r="P229" i="5"/>
  <c r="N229" i="5"/>
  <c r="O229" i="5" s="1"/>
  <c r="Q229" i="5" s="1"/>
  <c r="P228" i="5"/>
  <c r="N228" i="5"/>
  <c r="O228" i="5" s="1"/>
  <c r="Q228" i="5" s="1"/>
  <c r="P227" i="5"/>
  <c r="N227" i="5"/>
  <c r="O227" i="5" s="1"/>
  <c r="Q227" i="5" s="1"/>
  <c r="P226" i="5"/>
  <c r="N226" i="5"/>
  <c r="O226" i="5" s="1"/>
  <c r="Q226" i="5" s="1"/>
  <c r="P225" i="5"/>
  <c r="N225" i="5"/>
  <c r="O225" i="5" s="1"/>
  <c r="Q225" i="5" s="1"/>
  <c r="P224" i="5"/>
  <c r="N224" i="5"/>
  <c r="O224" i="5" s="1"/>
  <c r="Q224" i="5" s="1"/>
  <c r="P223" i="5"/>
  <c r="N223" i="5"/>
  <c r="O223" i="5" s="1"/>
  <c r="Q223" i="5" s="1"/>
  <c r="P222" i="5"/>
  <c r="N222" i="5"/>
  <c r="O222" i="5" s="1"/>
  <c r="Q222" i="5" s="1"/>
  <c r="P221" i="5"/>
  <c r="N221" i="5"/>
  <c r="O221" i="5" s="1"/>
  <c r="Q221" i="5" s="1"/>
  <c r="P220" i="5"/>
  <c r="N220" i="5"/>
  <c r="O220" i="5" s="1"/>
  <c r="Q220" i="5" s="1"/>
  <c r="P219" i="5"/>
  <c r="N219" i="5"/>
  <c r="O219" i="5" s="1"/>
  <c r="Q219" i="5" s="1"/>
  <c r="P218" i="5"/>
  <c r="N218" i="5"/>
  <c r="O218" i="5" s="1"/>
  <c r="Q218" i="5" s="1"/>
  <c r="P217" i="5"/>
  <c r="N217" i="5"/>
  <c r="O217" i="5" s="1"/>
  <c r="Q217" i="5" s="1"/>
  <c r="P216" i="5"/>
  <c r="N216" i="5"/>
  <c r="O216" i="5" s="1"/>
  <c r="Q216" i="5" s="1"/>
  <c r="P215" i="5"/>
  <c r="N215" i="5"/>
  <c r="O215" i="5" s="1"/>
  <c r="Q215" i="5" s="1"/>
  <c r="P214" i="5"/>
  <c r="N214" i="5"/>
  <c r="O214" i="5" s="1"/>
  <c r="Q214" i="5" s="1"/>
  <c r="P213" i="5"/>
  <c r="N213" i="5"/>
  <c r="O213" i="5" s="1"/>
  <c r="Q213" i="5" s="1"/>
  <c r="P212" i="5"/>
  <c r="N212" i="5"/>
  <c r="O212" i="5" s="1"/>
  <c r="Q212" i="5" s="1"/>
  <c r="P211" i="5"/>
  <c r="N211" i="5"/>
  <c r="O211" i="5" s="1"/>
  <c r="Q211" i="5" s="1"/>
  <c r="P210" i="5"/>
  <c r="N210" i="5"/>
  <c r="O210" i="5" s="1"/>
  <c r="Q210" i="5" s="1"/>
  <c r="P209" i="5"/>
  <c r="N209" i="5"/>
  <c r="O209" i="5" s="1"/>
  <c r="Q209" i="5" s="1"/>
  <c r="P208" i="5"/>
  <c r="N208" i="5"/>
  <c r="O208" i="5" s="1"/>
  <c r="Q208" i="5" s="1"/>
  <c r="P207" i="5"/>
  <c r="N207" i="5"/>
  <c r="O207" i="5" s="1"/>
  <c r="Q207" i="5" s="1"/>
  <c r="P206" i="5"/>
  <c r="N206" i="5"/>
  <c r="O206" i="5" s="1"/>
  <c r="Q206" i="5" s="1"/>
  <c r="P205" i="5"/>
  <c r="N205" i="5"/>
  <c r="O205" i="5" s="1"/>
  <c r="Q205" i="5" s="1"/>
  <c r="P204" i="5"/>
  <c r="N204" i="5"/>
  <c r="O204" i="5" s="1"/>
  <c r="Q204" i="5" s="1"/>
  <c r="P203" i="5"/>
  <c r="N203" i="5"/>
  <c r="O203" i="5" s="1"/>
  <c r="Q203" i="5" s="1"/>
  <c r="P202" i="5"/>
  <c r="N202" i="5"/>
  <c r="O202" i="5" s="1"/>
  <c r="Q202" i="5" s="1"/>
  <c r="P201" i="5"/>
  <c r="N201" i="5"/>
  <c r="O201" i="5" s="1"/>
  <c r="Q201" i="5" s="1"/>
  <c r="P200" i="5"/>
  <c r="N200" i="5"/>
  <c r="O200" i="5" s="1"/>
  <c r="Q200" i="5" s="1"/>
  <c r="P199" i="5"/>
  <c r="N199" i="5"/>
  <c r="O199" i="5" s="1"/>
  <c r="Q199" i="5" s="1"/>
  <c r="P198" i="5"/>
  <c r="N198" i="5"/>
  <c r="O198" i="5" s="1"/>
  <c r="Q198" i="5" s="1"/>
  <c r="P197" i="5"/>
  <c r="N197" i="5"/>
  <c r="O197" i="5" s="1"/>
  <c r="Q197" i="5" s="1"/>
  <c r="P196" i="5"/>
  <c r="N196" i="5"/>
  <c r="O196" i="5" s="1"/>
  <c r="Q196" i="5" s="1"/>
  <c r="P195" i="5"/>
  <c r="N195" i="5"/>
  <c r="O195" i="5" s="1"/>
  <c r="Q195" i="5" s="1"/>
  <c r="P194" i="5"/>
  <c r="N194" i="5"/>
  <c r="O194" i="5" s="1"/>
  <c r="Q194" i="5" s="1"/>
  <c r="P193" i="5"/>
  <c r="N193" i="5"/>
  <c r="O193" i="5" s="1"/>
  <c r="Q193" i="5" s="1"/>
  <c r="P192" i="5"/>
  <c r="N192" i="5"/>
  <c r="O192" i="5" s="1"/>
  <c r="Q192" i="5" s="1"/>
  <c r="P191" i="5"/>
  <c r="N191" i="5"/>
  <c r="O191" i="5" s="1"/>
  <c r="Q191" i="5" s="1"/>
  <c r="P190" i="5"/>
  <c r="N190" i="5"/>
  <c r="O190" i="5" s="1"/>
  <c r="Q190" i="5" s="1"/>
  <c r="P189" i="5"/>
  <c r="N189" i="5"/>
  <c r="O189" i="5" s="1"/>
  <c r="Q189" i="5" s="1"/>
  <c r="P188" i="5"/>
  <c r="N188" i="5"/>
  <c r="O188" i="5" s="1"/>
  <c r="Q188" i="5" s="1"/>
  <c r="P187" i="5"/>
  <c r="N187" i="5"/>
  <c r="O187" i="5" s="1"/>
  <c r="Q187" i="5" s="1"/>
  <c r="P186" i="5"/>
  <c r="N186" i="5"/>
  <c r="O186" i="5" s="1"/>
  <c r="Q186" i="5" s="1"/>
  <c r="P185" i="5"/>
  <c r="N185" i="5"/>
  <c r="O185" i="5" s="1"/>
  <c r="Q185" i="5" s="1"/>
  <c r="P184" i="5"/>
  <c r="N184" i="5"/>
  <c r="O184" i="5" s="1"/>
  <c r="Q184" i="5" s="1"/>
  <c r="P183" i="5"/>
  <c r="N183" i="5"/>
  <c r="O183" i="5" s="1"/>
  <c r="Q183" i="5" s="1"/>
  <c r="P182" i="5"/>
  <c r="N182" i="5"/>
  <c r="O182" i="5" s="1"/>
  <c r="Q182" i="5" s="1"/>
  <c r="P181" i="5"/>
  <c r="N181" i="5"/>
  <c r="O181" i="5" s="1"/>
  <c r="Q181" i="5" s="1"/>
  <c r="P180" i="5"/>
  <c r="N180" i="5"/>
  <c r="O180" i="5" s="1"/>
  <c r="Q180" i="5" s="1"/>
  <c r="P179" i="5"/>
  <c r="N179" i="5"/>
  <c r="O179" i="5" s="1"/>
  <c r="Q179" i="5" s="1"/>
  <c r="P178" i="5"/>
  <c r="N178" i="5"/>
  <c r="O178" i="5" s="1"/>
  <c r="Q178" i="5" s="1"/>
  <c r="P177" i="5"/>
  <c r="N177" i="5"/>
  <c r="O177" i="5" s="1"/>
  <c r="Q177" i="5" s="1"/>
  <c r="P176" i="5"/>
  <c r="N176" i="5"/>
  <c r="O176" i="5" s="1"/>
  <c r="Q176" i="5" s="1"/>
  <c r="P175" i="5"/>
  <c r="N175" i="5"/>
  <c r="O175" i="5" s="1"/>
  <c r="Q175" i="5" s="1"/>
  <c r="P174" i="5"/>
  <c r="N174" i="5"/>
  <c r="O174" i="5" s="1"/>
  <c r="Q174" i="5" s="1"/>
  <c r="P173" i="5"/>
  <c r="N173" i="5"/>
  <c r="O173" i="5" s="1"/>
  <c r="Q173" i="5" s="1"/>
  <c r="P172" i="5"/>
  <c r="N172" i="5"/>
  <c r="O172" i="5" s="1"/>
  <c r="Q172" i="5" s="1"/>
  <c r="P171" i="5"/>
  <c r="N171" i="5"/>
  <c r="O171" i="5" s="1"/>
  <c r="Q171" i="5" s="1"/>
  <c r="P170" i="5"/>
  <c r="N170" i="5"/>
  <c r="O170" i="5" s="1"/>
  <c r="Q170" i="5" s="1"/>
  <c r="P169" i="5"/>
  <c r="N169" i="5"/>
  <c r="O169" i="5" s="1"/>
  <c r="Q169" i="5" s="1"/>
  <c r="P168" i="5"/>
  <c r="N168" i="5"/>
  <c r="O168" i="5" s="1"/>
  <c r="Q168" i="5" s="1"/>
  <c r="P167" i="5"/>
  <c r="N167" i="5"/>
  <c r="O167" i="5" s="1"/>
  <c r="Q167" i="5" s="1"/>
  <c r="P166" i="5"/>
  <c r="N166" i="5"/>
  <c r="O166" i="5" s="1"/>
  <c r="Q166" i="5" s="1"/>
  <c r="P165" i="5"/>
  <c r="N165" i="5"/>
  <c r="O165" i="5" s="1"/>
  <c r="Q165" i="5" s="1"/>
  <c r="P164" i="5"/>
  <c r="N164" i="5"/>
  <c r="O164" i="5" s="1"/>
  <c r="Q164" i="5" s="1"/>
  <c r="P163" i="5"/>
  <c r="N163" i="5"/>
  <c r="O163" i="5" s="1"/>
  <c r="Q163" i="5" s="1"/>
  <c r="P162" i="5"/>
  <c r="N162" i="5"/>
  <c r="O162" i="5" s="1"/>
  <c r="Q162" i="5" s="1"/>
  <c r="P161" i="5"/>
  <c r="N161" i="5"/>
  <c r="O161" i="5" s="1"/>
  <c r="Q161" i="5" s="1"/>
  <c r="P160" i="5"/>
  <c r="N160" i="5"/>
  <c r="O160" i="5" s="1"/>
  <c r="Q160" i="5" s="1"/>
  <c r="P159" i="5"/>
  <c r="N159" i="5"/>
  <c r="O159" i="5" s="1"/>
  <c r="Q159" i="5" s="1"/>
  <c r="P158" i="5"/>
  <c r="N158" i="5"/>
  <c r="O158" i="5" s="1"/>
  <c r="Q158" i="5" s="1"/>
  <c r="P157" i="5"/>
  <c r="N157" i="5"/>
  <c r="O157" i="5" s="1"/>
  <c r="Q157" i="5" s="1"/>
  <c r="P156" i="5"/>
  <c r="N156" i="5"/>
  <c r="O156" i="5" s="1"/>
  <c r="Q156" i="5" s="1"/>
  <c r="P155" i="5"/>
  <c r="N155" i="5"/>
  <c r="O155" i="5" s="1"/>
  <c r="Q155" i="5" s="1"/>
  <c r="P154" i="5"/>
  <c r="N154" i="5"/>
  <c r="O154" i="5" s="1"/>
  <c r="Q154" i="5" s="1"/>
  <c r="P153" i="5"/>
  <c r="N153" i="5"/>
  <c r="O153" i="5" s="1"/>
  <c r="Q153" i="5" s="1"/>
  <c r="P152" i="5"/>
  <c r="N152" i="5"/>
  <c r="O152" i="5" s="1"/>
  <c r="Q152" i="5" s="1"/>
  <c r="P151" i="5"/>
  <c r="N151" i="5"/>
  <c r="O151" i="5" s="1"/>
  <c r="Q151" i="5" s="1"/>
  <c r="P150" i="5"/>
  <c r="N150" i="5"/>
  <c r="O150" i="5" s="1"/>
  <c r="Q150" i="5" s="1"/>
  <c r="P149" i="5"/>
  <c r="N149" i="5"/>
  <c r="O149" i="5" s="1"/>
  <c r="Q149" i="5" s="1"/>
  <c r="P148" i="5"/>
  <c r="N148" i="5"/>
  <c r="O148" i="5" s="1"/>
  <c r="Q148" i="5" s="1"/>
  <c r="P147" i="5"/>
  <c r="N147" i="5"/>
  <c r="O147" i="5" s="1"/>
  <c r="Q147" i="5" s="1"/>
  <c r="P146" i="5"/>
  <c r="N146" i="5"/>
  <c r="O146" i="5" s="1"/>
  <c r="Q146" i="5" s="1"/>
  <c r="P145" i="5"/>
  <c r="N145" i="5"/>
  <c r="O145" i="5" s="1"/>
  <c r="Q145" i="5" s="1"/>
  <c r="P144" i="5"/>
  <c r="N144" i="5"/>
  <c r="O144" i="5" s="1"/>
  <c r="Q144" i="5" s="1"/>
  <c r="P143" i="5"/>
  <c r="N143" i="5"/>
  <c r="O143" i="5" s="1"/>
  <c r="Q143" i="5" s="1"/>
  <c r="P142" i="5"/>
  <c r="N142" i="5"/>
  <c r="O142" i="5" s="1"/>
  <c r="Q142" i="5" s="1"/>
  <c r="P141" i="5"/>
  <c r="N141" i="5"/>
  <c r="O141" i="5" s="1"/>
  <c r="Q141" i="5" s="1"/>
  <c r="P140" i="5"/>
  <c r="N140" i="5"/>
  <c r="O140" i="5" s="1"/>
  <c r="Q140" i="5" s="1"/>
  <c r="P139" i="5"/>
  <c r="N139" i="5"/>
  <c r="O139" i="5" s="1"/>
  <c r="Q139" i="5" s="1"/>
  <c r="P138" i="5"/>
  <c r="N138" i="5"/>
  <c r="O138" i="5" s="1"/>
  <c r="Q138" i="5" s="1"/>
  <c r="P137" i="5"/>
  <c r="N137" i="5"/>
  <c r="O137" i="5" s="1"/>
  <c r="Q137" i="5" s="1"/>
  <c r="P136" i="5"/>
  <c r="N136" i="5"/>
  <c r="O136" i="5" s="1"/>
  <c r="Q136" i="5" s="1"/>
  <c r="P135" i="5"/>
  <c r="N135" i="5"/>
  <c r="O135" i="5" s="1"/>
  <c r="Q135" i="5" s="1"/>
  <c r="P134" i="5"/>
  <c r="N134" i="5"/>
  <c r="O134" i="5" s="1"/>
  <c r="Q134" i="5" s="1"/>
  <c r="P133" i="5"/>
  <c r="N133" i="5"/>
  <c r="O133" i="5" s="1"/>
  <c r="Q133" i="5" s="1"/>
  <c r="P132" i="5"/>
  <c r="N132" i="5"/>
  <c r="O132" i="5" s="1"/>
  <c r="Q132" i="5" s="1"/>
  <c r="P131" i="5"/>
  <c r="N131" i="5"/>
  <c r="O131" i="5" s="1"/>
  <c r="Q131" i="5" s="1"/>
  <c r="P130" i="5"/>
  <c r="N130" i="5"/>
  <c r="O130" i="5" s="1"/>
  <c r="Q130" i="5" s="1"/>
  <c r="P129" i="5"/>
  <c r="N129" i="5"/>
  <c r="O129" i="5" s="1"/>
  <c r="Q129" i="5" s="1"/>
  <c r="P128" i="5"/>
  <c r="N128" i="5"/>
  <c r="O128" i="5" s="1"/>
  <c r="Q128" i="5" s="1"/>
  <c r="P127" i="5"/>
  <c r="N127" i="5"/>
  <c r="O127" i="5" s="1"/>
  <c r="Q127" i="5" s="1"/>
  <c r="P126" i="5"/>
  <c r="N126" i="5"/>
  <c r="O126" i="5" s="1"/>
  <c r="Q126" i="5" s="1"/>
  <c r="P125" i="5"/>
  <c r="N125" i="5"/>
  <c r="O125" i="5" s="1"/>
  <c r="Q125" i="5" s="1"/>
  <c r="P124" i="5"/>
  <c r="N124" i="5"/>
  <c r="O124" i="5" s="1"/>
  <c r="Q124" i="5" s="1"/>
  <c r="P123" i="5"/>
  <c r="N123" i="5"/>
  <c r="O123" i="5" s="1"/>
  <c r="Q123" i="5" s="1"/>
  <c r="P122" i="5"/>
  <c r="N122" i="5"/>
  <c r="O122" i="5" s="1"/>
  <c r="Q122" i="5" s="1"/>
  <c r="P121" i="5"/>
  <c r="N121" i="5"/>
  <c r="O121" i="5" s="1"/>
  <c r="Q121" i="5" s="1"/>
  <c r="P120" i="5"/>
  <c r="N120" i="5"/>
  <c r="O120" i="5" s="1"/>
  <c r="Q120" i="5" s="1"/>
  <c r="P119" i="5"/>
  <c r="N119" i="5"/>
  <c r="O119" i="5" s="1"/>
  <c r="Q119" i="5" s="1"/>
  <c r="P118" i="5"/>
  <c r="N118" i="5"/>
  <c r="O118" i="5" s="1"/>
  <c r="Q118" i="5" s="1"/>
  <c r="P117" i="5"/>
  <c r="N117" i="5"/>
  <c r="O117" i="5" s="1"/>
  <c r="Q117" i="5" s="1"/>
  <c r="P116" i="5"/>
  <c r="N116" i="5"/>
  <c r="O116" i="5" s="1"/>
  <c r="Q116" i="5" s="1"/>
  <c r="P115" i="5"/>
  <c r="N115" i="5"/>
  <c r="O115" i="5" s="1"/>
  <c r="Q115" i="5" s="1"/>
  <c r="P114" i="5"/>
  <c r="N114" i="5"/>
  <c r="O114" i="5" s="1"/>
  <c r="Q114" i="5" s="1"/>
  <c r="P113" i="5"/>
  <c r="N113" i="5"/>
  <c r="O113" i="5" s="1"/>
  <c r="Q113" i="5" s="1"/>
  <c r="P112" i="5"/>
  <c r="N112" i="5"/>
  <c r="O112" i="5" s="1"/>
  <c r="Q112" i="5" s="1"/>
  <c r="P111" i="5"/>
  <c r="N111" i="5"/>
  <c r="O111" i="5" s="1"/>
  <c r="Q111" i="5" s="1"/>
  <c r="P110" i="5"/>
  <c r="N110" i="5"/>
  <c r="O110" i="5" s="1"/>
  <c r="Q110" i="5" s="1"/>
  <c r="P109" i="5"/>
  <c r="N109" i="5"/>
  <c r="O109" i="5" s="1"/>
  <c r="Q109" i="5" s="1"/>
  <c r="P108" i="5"/>
  <c r="N108" i="5"/>
  <c r="O108" i="5" s="1"/>
  <c r="Q108" i="5" s="1"/>
  <c r="P107" i="5"/>
  <c r="N107" i="5"/>
  <c r="O107" i="5" s="1"/>
  <c r="Q107" i="5" s="1"/>
  <c r="P106" i="5"/>
  <c r="N106" i="5"/>
  <c r="O106" i="5" s="1"/>
  <c r="Q106" i="5" s="1"/>
  <c r="P105" i="5"/>
  <c r="N105" i="5"/>
  <c r="O105" i="5" s="1"/>
  <c r="Q105" i="5" s="1"/>
  <c r="P104" i="5"/>
  <c r="N104" i="5"/>
  <c r="O104" i="5" s="1"/>
  <c r="Q104" i="5" s="1"/>
  <c r="P103" i="5"/>
  <c r="N103" i="5"/>
  <c r="O103" i="5" s="1"/>
  <c r="Q103" i="5" s="1"/>
  <c r="P102" i="5"/>
  <c r="N102" i="5"/>
  <c r="O102" i="5" s="1"/>
  <c r="Q102" i="5" s="1"/>
  <c r="P101" i="5"/>
  <c r="N101" i="5"/>
  <c r="O101" i="5" s="1"/>
  <c r="Q101" i="5" s="1"/>
  <c r="P100" i="5"/>
  <c r="N100" i="5"/>
  <c r="O100" i="5" s="1"/>
  <c r="Q100" i="5" s="1"/>
  <c r="P99" i="5"/>
  <c r="N99" i="5"/>
  <c r="O99" i="5" s="1"/>
  <c r="Q99" i="5" s="1"/>
  <c r="P98" i="5"/>
  <c r="N98" i="5"/>
  <c r="O98" i="5" s="1"/>
  <c r="Q98" i="5" s="1"/>
  <c r="P97" i="5"/>
  <c r="N97" i="5"/>
  <c r="O97" i="5" s="1"/>
  <c r="Q97" i="5" s="1"/>
  <c r="P96" i="5"/>
  <c r="N96" i="5"/>
  <c r="O96" i="5" s="1"/>
  <c r="Q96" i="5" s="1"/>
  <c r="P95" i="5"/>
  <c r="N95" i="5"/>
  <c r="O95" i="5" s="1"/>
  <c r="Q95" i="5" s="1"/>
  <c r="P94" i="5"/>
  <c r="N94" i="5"/>
  <c r="O94" i="5" s="1"/>
  <c r="Q94" i="5" s="1"/>
  <c r="P93" i="5"/>
  <c r="N93" i="5"/>
  <c r="O93" i="5" s="1"/>
  <c r="Q93" i="5" s="1"/>
  <c r="P92" i="5"/>
  <c r="N92" i="5"/>
  <c r="O92" i="5" s="1"/>
  <c r="Q92" i="5" s="1"/>
  <c r="P91" i="5"/>
  <c r="N91" i="5"/>
  <c r="O91" i="5" s="1"/>
  <c r="Q91" i="5" s="1"/>
  <c r="P90" i="5"/>
  <c r="N90" i="5"/>
  <c r="O90" i="5" s="1"/>
  <c r="Q90" i="5" s="1"/>
  <c r="P89" i="5"/>
  <c r="N89" i="5"/>
  <c r="O89" i="5" s="1"/>
  <c r="Q89" i="5" s="1"/>
  <c r="P88" i="5"/>
  <c r="N88" i="5"/>
  <c r="O88" i="5" s="1"/>
  <c r="Q88" i="5" s="1"/>
  <c r="P87" i="5"/>
  <c r="N87" i="5"/>
  <c r="O87" i="5" s="1"/>
  <c r="Q87" i="5" s="1"/>
  <c r="P86" i="5"/>
  <c r="N86" i="5"/>
  <c r="O86" i="5" s="1"/>
  <c r="Q86" i="5" s="1"/>
  <c r="P85" i="5"/>
  <c r="N85" i="5"/>
  <c r="O85" i="5" s="1"/>
  <c r="Q85" i="5" s="1"/>
  <c r="P84" i="5"/>
  <c r="N84" i="5"/>
  <c r="O84" i="5" s="1"/>
  <c r="Q84" i="5" s="1"/>
  <c r="P83" i="5"/>
  <c r="N83" i="5"/>
  <c r="O83" i="5" s="1"/>
  <c r="Q83" i="5" s="1"/>
  <c r="P82" i="5"/>
  <c r="N82" i="5"/>
  <c r="O82" i="5" s="1"/>
  <c r="Q82" i="5" s="1"/>
  <c r="P81" i="5"/>
  <c r="N81" i="5"/>
  <c r="O81" i="5" s="1"/>
  <c r="Q81" i="5" s="1"/>
  <c r="P80" i="5"/>
  <c r="N80" i="5"/>
  <c r="O80" i="5" s="1"/>
  <c r="Q80" i="5" s="1"/>
  <c r="P79" i="5"/>
  <c r="N79" i="5"/>
  <c r="O79" i="5" s="1"/>
  <c r="Q79" i="5" s="1"/>
  <c r="P78" i="5"/>
  <c r="N78" i="5"/>
  <c r="O78" i="5" s="1"/>
  <c r="Q78" i="5" s="1"/>
  <c r="P77" i="5"/>
  <c r="N77" i="5"/>
  <c r="O77" i="5" s="1"/>
  <c r="Q77" i="5" s="1"/>
  <c r="P76" i="5"/>
  <c r="N76" i="5"/>
  <c r="O76" i="5" s="1"/>
  <c r="Q76" i="5" s="1"/>
  <c r="P75" i="5"/>
  <c r="N75" i="5"/>
  <c r="O75" i="5" s="1"/>
  <c r="Q75" i="5" s="1"/>
  <c r="P74" i="5"/>
  <c r="N74" i="5"/>
  <c r="O74" i="5" s="1"/>
  <c r="Q74" i="5" s="1"/>
  <c r="P73" i="5"/>
  <c r="N73" i="5"/>
  <c r="O73" i="5" s="1"/>
  <c r="Q73" i="5" s="1"/>
  <c r="P72" i="5"/>
  <c r="N72" i="5"/>
  <c r="O72" i="5" s="1"/>
  <c r="Q72" i="5" s="1"/>
  <c r="P71" i="5"/>
  <c r="N71" i="5"/>
  <c r="O71" i="5" s="1"/>
  <c r="Q71" i="5" s="1"/>
  <c r="P70" i="5"/>
  <c r="N70" i="5"/>
  <c r="O70" i="5" s="1"/>
  <c r="Q70" i="5" s="1"/>
  <c r="P69" i="5"/>
  <c r="N69" i="5"/>
  <c r="O69" i="5" s="1"/>
  <c r="Q69" i="5" s="1"/>
  <c r="P68" i="5"/>
  <c r="N68" i="5"/>
  <c r="O68" i="5" s="1"/>
  <c r="Q68" i="5" s="1"/>
  <c r="P67" i="5"/>
  <c r="N67" i="5"/>
  <c r="O67" i="5" s="1"/>
  <c r="Q67" i="5" s="1"/>
  <c r="P66" i="5"/>
  <c r="N66" i="5"/>
  <c r="O66" i="5" s="1"/>
  <c r="Q66" i="5" s="1"/>
  <c r="P65" i="5"/>
  <c r="N65" i="5"/>
  <c r="O65" i="5" s="1"/>
  <c r="Q65" i="5" s="1"/>
  <c r="P64" i="5"/>
  <c r="N64" i="5"/>
  <c r="O64" i="5" s="1"/>
  <c r="Q64" i="5" s="1"/>
  <c r="P63" i="5"/>
  <c r="N63" i="5"/>
  <c r="O63" i="5" s="1"/>
  <c r="Q63" i="5" s="1"/>
  <c r="P62" i="5"/>
  <c r="N62" i="5"/>
  <c r="O62" i="5" s="1"/>
  <c r="Q62" i="5" s="1"/>
  <c r="P61" i="5"/>
  <c r="N61" i="5"/>
  <c r="O61" i="5" s="1"/>
  <c r="Q61" i="5" s="1"/>
  <c r="P60" i="5"/>
  <c r="N60" i="5"/>
  <c r="O60" i="5" s="1"/>
  <c r="Q60" i="5" s="1"/>
  <c r="P59" i="5"/>
  <c r="N59" i="5"/>
  <c r="O59" i="5" s="1"/>
  <c r="Q59" i="5" s="1"/>
  <c r="P58" i="5"/>
  <c r="N58" i="5"/>
  <c r="O58" i="5" s="1"/>
  <c r="Q58" i="5" s="1"/>
  <c r="P57" i="5"/>
  <c r="N57" i="5"/>
  <c r="O57" i="5" s="1"/>
  <c r="Q57" i="5" s="1"/>
  <c r="P56" i="5"/>
  <c r="N56" i="5"/>
  <c r="O56" i="5" s="1"/>
  <c r="Q56" i="5" s="1"/>
  <c r="P55" i="5"/>
  <c r="N55" i="5"/>
  <c r="O55" i="5" s="1"/>
  <c r="Q55" i="5" s="1"/>
  <c r="P54" i="5"/>
  <c r="N54" i="5"/>
  <c r="O54" i="5" s="1"/>
  <c r="Q54" i="5" s="1"/>
  <c r="P53" i="5"/>
  <c r="N53" i="5"/>
  <c r="O53" i="5" s="1"/>
  <c r="Q53" i="5" s="1"/>
  <c r="P52" i="5"/>
  <c r="N52" i="5"/>
  <c r="O52" i="5" s="1"/>
  <c r="Q52" i="5" s="1"/>
  <c r="P51" i="5"/>
  <c r="N51" i="5"/>
  <c r="O51" i="5" s="1"/>
  <c r="Q51" i="5" s="1"/>
  <c r="P50" i="5"/>
  <c r="N50" i="5"/>
  <c r="O50" i="5" s="1"/>
  <c r="Q50" i="5" s="1"/>
  <c r="P49" i="5"/>
  <c r="N49" i="5"/>
  <c r="O49" i="5" s="1"/>
  <c r="Q49" i="5" s="1"/>
  <c r="P48" i="5"/>
  <c r="N48" i="5"/>
  <c r="O48" i="5" s="1"/>
  <c r="Q48" i="5" s="1"/>
  <c r="P47" i="5"/>
  <c r="N47" i="5"/>
  <c r="O47" i="5" s="1"/>
  <c r="Q47" i="5" s="1"/>
  <c r="P46" i="5"/>
  <c r="N46" i="5"/>
  <c r="O46" i="5" s="1"/>
  <c r="Q46" i="5" s="1"/>
  <c r="P45" i="5"/>
  <c r="N45" i="5"/>
  <c r="O45" i="5" s="1"/>
  <c r="Q45" i="5" s="1"/>
  <c r="P44" i="5"/>
  <c r="N44" i="5"/>
  <c r="O44" i="5" s="1"/>
  <c r="Q44" i="5" s="1"/>
  <c r="P43" i="5"/>
  <c r="N43" i="5"/>
  <c r="O43" i="5" s="1"/>
  <c r="Q43" i="5" s="1"/>
  <c r="P42" i="5"/>
  <c r="N42" i="5"/>
  <c r="O42" i="5" s="1"/>
  <c r="Q42" i="5" s="1"/>
  <c r="P41" i="5"/>
  <c r="N41" i="5"/>
  <c r="O41" i="5" s="1"/>
  <c r="Q41" i="5" s="1"/>
  <c r="P40" i="5"/>
  <c r="N40" i="5"/>
  <c r="O40" i="5" s="1"/>
  <c r="Q40" i="5" s="1"/>
  <c r="P39" i="5"/>
  <c r="N39" i="5"/>
  <c r="O39" i="5" s="1"/>
  <c r="Q39" i="5" s="1"/>
  <c r="P38" i="5"/>
  <c r="N38" i="5"/>
  <c r="O38" i="5" s="1"/>
  <c r="Q38" i="5" s="1"/>
  <c r="P37" i="5"/>
  <c r="N37" i="5"/>
  <c r="O37" i="5" s="1"/>
  <c r="Q37" i="5" s="1"/>
  <c r="P36" i="5"/>
  <c r="N36" i="5"/>
  <c r="O36" i="5" s="1"/>
  <c r="Q36" i="5" s="1"/>
  <c r="P35" i="5"/>
  <c r="N35" i="5"/>
  <c r="O35" i="5" s="1"/>
  <c r="Q35" i="5" s="1"/>
  <c r="P34" i="5"/>
  <c r="N34" i="5"/>
  <c r="O34" i="5" s="1"/>
  <c r="Q34" i="5" s="1"/>
  <c r="P33" i="5"/>
  <c r="N33" i="5"/>
  <c r="O33" i="5" s="1"/>
  <c r="Q33" i="5" s="1"/>
  <c r="P32" i="5"/>
  <c r="N32" i="5"/>
  <c r="O32" i="5" s="1"/>
  <c r="Q32" i="5" s="1"/>
  <c r="P31" i="5"/>
  <c r="N31" i="5"/>
  <c r="O31" i="5" s="1"/>
  <c r="Q31" i="5" s="1"/>
  <c r="P30" i="5"/>
  <c r="N30" i="5"/>
  <c r="O30" i="5" s="1"/>
  <c r="Q30" i="5" s="1"/>
  <c r="P29" i="5"/>
  <c r="N29" i="5"/>
  <c r="O29" i="5" s="1"/>
  <c r="Q29" i="5" s="1"/>
  <c r="P28" i="5"/>
  <c r="N28" i="5"/>
  <c r="O28" i="5" s="1"/>
  <c r="Q28" i="5" s="1"/>
  <c r="P27" i="5"/>
  <c r="N27" i="5"/>
  <c r="O27" i="5" s="1"/>
  <c r="Q27" i="5" s="1"/>
  <c r="P26" i="5"/>
  <c r="N26" i="5"/>
  <c r="O26" i="5" s="1"/>
  <c r="Q26" i="5" s="1"/>
  <c r="P25" i="5"/>
  <c r="N25" i="5"/>
  <c r="O25" i="5" s="1"/>
  <c r="Q25" i="5" s="1"/>
  <c r="P24" i="5"/>
  <c r="N24" i="5"/>
  <c r="O24" i="5" s="1"/>
  <c r="Q24" i="5" s="1"/>
  <c r="P23" i="5"/>
  <c r="N23" i="5"/>
  <c r="O23" i="5" s="1"/>
  <c r="Q23" i="5" s="1"/>
  <c r="P22" i="5"/>
  <c r="N22" i="5"/>
  <c r="O22" i="5" s="1"/>
  <c r="Q22" i="5" s="1"/>
  <c r="P21" i="5"/>
  <c r="N21" i="5"/>
  <c r="O21" i="5" s="1"/>
  <c r="Q21" i="5" s="1"/>
  <c r="P20" i="5"/>
  <c r="N20" i="5"/>
  <c r="O20" i="5" s="1"/>
  <c r="Q20" i="5" s="1"/>
  <c r="P19" i="5"/>
  <c r="N19" i="5"/>
  <c r="O19" i="5" s="1"/>
  <c r="Q19" i="5" s="1"/>
  <c r="P18" i="5"/>
  <c r="N18" i="5"/>
  <c r="O18" i="5" s="1"/>
  <c r="Q18" i="5" s="1"/>
  <c r="P17" i="5"/>
  <c r="N17" i="5"/>
  <c r="O17" i="5" s="1"/>
  <c r="Q17" i="5" s="1"/>
  <c r="P16" i="5"/>
  <c r="N16" i="5"/>
  <c r="O16" i="5" s="1"/>
  <c r="Q16" i="5" s="1"/>
  <c r="P15" i="5"/>
  <c r="N15" i="5"/>
  <c r="O15" i="5" s="1"/>
  <c r="Q15" i="5" s="1"/>
  <c r="P14" i="5"/>
  <c r="N14" i="5"/>
  <c r="O14" i="5" s="1"/>
  <c r="Q14" i="5" s="1"/>
  <c r="P13" i="5"/>
  <c r="N13" i="5"/>
  <c r="O13" i="5" s="1"/>
  <c r="Q13" i="5" s="1"/>
  <c r="P12" i="5"/>
  <c r="N12" i="5"/>
  <c r="O12" i="5" s="1"/>
  <c r="Q12" i="5" s="1"/>
  <c r="P11" i="5"/>
  <c r="N11" i="5"/>
  <c r="O11" i="5" s="1"/>
  <c r="Q11" i="5" s="1"/>
  <c r="P10" i="5"/>
  <c r="N10" i="5"/>
  <c r="O10" i="5" s="1"/>
  <c r="Q10" i="5" s="1"/>
  <c r="P9" i="5"/>
  <c r="N9" i="5"/>
  <c r="O9" i="5" s="1"/>
  <c r="Q9" i="5" s="1"/>
  <c r="P8" i="5"/>
  <c r="N8" i="5"/>
  <c r="O8" i="5" s="1"/>
  <c r="Q8" i="5" s="1"/>
  <c r="P7" i="5"/>
  <c r="N7" i="5"/>
  <c r="O7" i="5" s="1"/>
  <c r="Q7" i="5" s="1"/>
  <c r="P6" i="5"/>
  <c r="N6" i="5"/>
  <c r="O6" i="5" s="1"/>
  <c r="Q6" i="5" s="1"/>
  <c r="P5" i="5"/>
  <c r="N5" i="5"/>
  <c r="O5" i="5" s="1"/>
  <c r="Q5" i="5" s="1"/>
  <c r="P4" i="5"/>
  <c r="N4" i="5"/>
  <c r="O4" i="5" s="1"/>
  <c r="Q4" i="5" s="1"/>
  <c r="P3" i="5"/>
  <c r="N3" i="5"/>
  <c r="O3" i="5" s="1"/>
  <c r="Q3" i="5" s="1"/>
  <c r="P2" i="5"/>
  <c r="N2" i="5"/>
  <c r="O2" i="5" s="1"/>
  <c r="Q2" i="5" s="1"/>
  <c r="F4" i="4"/>
  <c r="F3" i="4"/>
  <c r="F5" i="4"/>
  <c r="F6" i="4"/>
  <c r="F7" i="4"/>
  <c r="G5" i="3"/>
  <c r="G6" i="3"/>
  <c r="G7" i="3"/>
  <c r="G4" i="3"/>
  <c r="F4" i="3"/>
  <c r="F5" i="3"/>
  <c r="F6" i="3"/>
  <c r="F7" i="3"/>
  <c r="G3" i="3"/>
  <c r="F3" i="3"/>
  <c r="D4" i="2"/>
  <c r="D5" i="2"/>
  <c r="D6" i="2"/>
  <c r="D7" i="2"/>
  <c r="D8" i="2"/>
  <c r="D3" i="2"/>
  <c r="B13" i="7" l="1"/>
  <c r="C13" i="7" l="1"/>
  <c r="C10" i="7"/>
  <c r="C11" i="7"/>
  <c r="C12" i="7"/>
  <c r="C9" i="7"/>
</calcChain>
</file>

<file path=xl/sharedStrings.xml><?xml version="1.0" encoding="utf-8"?>
<sst xmlns="http://schemas.openxmlformats.org/spreadsheetml/2006/main" count="3016" uniqueCount="959">
  <si>
    <t>Tabela de Produtos da Cafeteria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</si>
  <si>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</si>
  <si>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</si>
  <si>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</si>
  <si>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</si>
  <si>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</si>
  <si>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</si>
  <si>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</si>
  <si>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</si>
  <si>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</si>
  <si>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</si>
  <si>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</si>
  <si>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LTDA.</t>
  </si>
  <si>
    <t>Funcionários</t>
  </si>
  <si>
    <t>Produtos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</si>
  <si>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</si>
  <si>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</si>
  <si>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</si>
  <si>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</si>
  <si>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</si>
  <si>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</si>
  <si>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</si>
  <si>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</si>
  <si>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</si>
  <si>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</si>
  <si>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</si>
  <si>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</si>
  <si>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</si>
  <si>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</si>
  <si>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</si>
  <si>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</si>
  <si>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de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</si>
  <si>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</si>
  <si>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</si>
  <si>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</si>
  <si>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</si>
  <si>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</si>
  <si>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</si>
  <si>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</si>
  <si>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</si>
  <si>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</si>
  <si>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</si>
  <si>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</si>
  <si>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</si>
  <si>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</si>
  <si>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>Curso Técnico</t>
  </si>
  <si>
    <t>Anos de experiência na área</t>
  </si>
  <si>
    <t>Situação</t>
  </si>
  <si>
    <t>Alfa Romeu Julia</t>
  </si>
  <si>
    <t>Não</t>
  </si>
  <si>
    <t>Sim</t>
  </si>
  <si>
    <t>Fusclaudia de Oliveira</t>
  </si>
  <si>
    <t>Unotavio dos Santos</t>
  </si>
  <si>
    <t>Nissan Silvia</t>
  </si>
  <si>
    <t>Ferrazi Enzo</t>
  </si>
  <si>
    <t>Requisitos para ser contratado</t>
  </si>
  <si>
    <t>Ter idade maior ou igual a 18 anos</t>
  </si>
  <si>
    <t>Ter ensino médio completo</t>
  </si>
  <si>
    <t>Ter curso de vendedor</t>
  </si>
  <si>
    <t>Ter no minimo 3 anos de experiência na área</t>
  </si>
  <si>
    <t>status</t>
  </si>
  <si>
    <t>nome</t>
  </si>
  <si>
    <t>cpf</t>
  </si>
  <si>
    <t>cpf_padronizado</t>
  </si>
  <si>
    <t>data_nascimento</t>
  </si>
  <si>
    <t>idade</t>
  </si>
  <si>
    <t>cidade</t>
  </si>
  <si>
    <t>regiao</t>
  </si>
  <si>
    <t>renda_mensal</t>
  </si>
  <si>
    <t>credito_tomado</t>
  </si>
  <si>
    <t>flag_inadimplente</t>
  </si>
  <si>
    <t>qtde_batalhas</t>
  </si>
  <si>
    <t>valor_solicitado</t>
  </si>
  <si>
    <t>nivel_risco</t>
  </si>
  <si>
    <t>analise_risco</t>
  </si>
  <si>
    <t>analise_credito</t>
  </si>
  <si>
    <t>liberacao_credito</t>
  </si>
  <si>
    <t>Ativo</t>
  </si>
  <si>
    <t>Ellaria Baelish</t>
  </si>
  <si>
    <t>000.000.336-00</t>
  </si>
  <si>
    <t>Ninho da Águia</t>
  </si>
  <si>
    <t>Vale</t>
  </si>
  <si>
    <t>Inativo</t>
  </si>
  <si>
    <t>Stannis Lannister</t>
  </si>
  <si>
    <t>Ponta Tempestade</t>
  </si>
  <si>
    <t>Terras da Tempestade</t>
  </si>
  <si>
    <t>Asha Hornwood</t>
  </si>
  <si>
    <t>000.000.363-00</t>
  </si>
  <si>
    <t>Pedra do Dragão</t>
  </si>
  <si>
    <t>Terras da Coroa</t>
  </si>
  <si>
    <t>Jorah Dondarrion</t>
  </si>
  <si>
    <t>000.000.210-00</t>
  </si>
  <si>
    <t>Pyke</t>
  </si>
  <si>
    <t>Ilhas de Ferro</t>
  </si>
  <si>
    <t>Jojen Florent</t>
  </si>
  <si>
    <t>000.000.321-00</t>
  </si>
  <si>
    <t>Olenna Baelish</t>
  </si>
  <si>
    <t>000.000.191-00</t>
  </si>
  <si>
    <t>Lannisporto</t>
  </si>
  <si>
    <t>Oeste</t>
  </si>
  <si>
    <t>Brienne Manderly</t>
  </si>
  <si>
    <t>000.000.076-00</t>
  </si>
  <si>
    <t>Yara Targaryen</t>
  </si>
  <si>
    <t>000.000.059-00</t>
  </si>
  <si>
    <t>Margaery Tarly</t>
  </si>
  <si>
    <t>000.000.274-00</t>
  </si>
  <si>
    <t>Viserys Seaworth</t>
  </si>
  <si>
    <t>000.000.024-00</t>
  </si>
  <si>
    <t>Meereen</t>
  </si>
  <si>
    <t>Essos</t>
  </si>
  <si>
    <t>Tormund Cerwyn</t>
  </si>
  <si>
    <t>000.000.039-00</t>
  </si>
  <si>
    <t>Catelyn Westerling</t>
  </si>
  <si>
    <t>35800</t>
  </si>
  <si>
    <t>Braavos</t>
  </si>
  <si>
    <t>Robb Baratheon</t>
  </si>
  <si>
    <t>000.000.365-00</t>
  </si>
  <si>
    <t>Asha Tallhart</t>
  </si>
  <si>
    <t>8600</t>
  </si>
  <si>
    <t>Missandei Tarly</t>
  </si>
  <si>
    <t>200</t>
  </si>
  <si>
    <t>Jeor Mallister</t>
  </si>
  <si>
    <t>000.000.162-00</t>
  </si>
  <si>
    <t>Correrrio</t>
  </si>
  <si>
    <t>Terras Fluviais</t>
  </si>
  <si>
    <t>Eddard Crakehall</t>
  </si>
  <si>
    <t>31800</t>
  </si>
  <si>
    <t>Castelo Negro</t>
  </si>
  <si>
    <t>Norte</t>
  </si>
  <si>
    <t>Podrick Swyft</t>
  </si>
  <si>
    <t>000.000.090-00</t>
  </si>
  <si>
    <t>Podrick Dayne</t>
  </si>
  <si>
    <t>22300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</si>
  <si>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</si>
  <si>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</si>
  <si>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</si>
  <si>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</si>
  <si>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</si>
  <si>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</si>
  <si>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</si>
  <si>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Robert Karstark</t>
  </si>
  <si>
    <t>000.000.184-00</t>
  </si>
  <si>
    <t>Rhaegar Stark</t>
  </si>
  <si>
    <t>000.000.119-00</t>
  </si>
  <si>
    <t>Loras Greyjoy</t>
  </si>
  <si>
    <t>000.000.362-00</t>
  </si>
  <si>
    <t>Fosso Cailin</t>
  </si>
  <si>
    <t>Jorah Hightower</t>
  </si>
  <si>
    <t>000.000.346-00</t>
  </si>
  <si>
    <t>Loras Clegane</t>
  </si>
  <si>
    <t>000.000.287-00</t>
  </si>
  <si>
    <t>Harrenhal</t>
  </si>
  <si>
    <t>34300</t>
  </si>
  <si>
    <t>Winterfell</t>
  </si>
  <si>
    <t>Samwell Yronwood</t>
  </si>
  <si>
    <t>000.000.124-00</t>
  </si>
  <si>
    <t>Jardim de Cima</t>
  </si>
  <si>
    <t>Catelyn Yronwood</t>
  </si>
  <si>
    <t>000.000.226-00</t>
  </si>
  <si>
    <t>Brienne Reed</t>
  </si>
  <si>
    <t>000.000.306-00</t>
  </si>
  <si>
    <t>Rhaegar Umber</t>
  </si>
  <si>
    <t>000.000.247-00</t>
  </si>
  <si>
    <t>Roose Manderly</t>
  </si>
  <si>
    <t>15400</t>
  </si>
  <si>
    <t>Dorne</t>
  </si>
  <si>
    <t>Jeor Florent</t>
  </si>
  <si>
    <t>000.000.249-00</t>
  </si>
  <si>
    <t>Bran Yronwood</t>
  </si>
  <si>
    <t>000.000.057-00</t>
  </si>
  <si>
    <t>Bronn Arryn</t>
  </si>
  <si>
    <t>000.000.016-00</t>
  </si>
  <si>
    <t>Shae Clegane</t>
  </si>
  <si>
    <t>000.000.205-00</t>
  </si>
  <si>
    <t>Ramsay Hornwood</t>
  </si>
  <si>
    <t>000.000.005-00</t>
  </si>
  <si>
    <t>Não informado</t>
  </si>
  <si>
    <t>Meera Payne</t>
  </si>
  <si>
    <t>000.000.131-00</t>
  </si>
  <si>
    <t>Melisandre Baratheon</t>
  </si>
  <si>
    <t>000.000.364-00</t>
  </si>
  <si>
    <t>Podrick Targaryen</t>
  </si>
  <si>
    <t>000.000.050-00</t>
  </si>
  <si>
    <t>Margaery Manderly</t>
  </si>
  <si>
    <t>000.000.222-00</t>
  </si>
  <si>
    <t>Daenerys Seaworth</t>
  </si>
  <si>
    <t>000.000.341-00</t>
  </si>
  <si>
    <t>000.000.140-00</t>
  </si>
  <si>
    <t>Jorah Redwyne</t>
  </si>
  <si>
    <t>16500</t>
  </si>
  <si>
    <t>Monte Chifre</t>
  </si>
  <si>
    <t>Margaery Hornwood</t>
  </si>
  <si>
    <t>15100</t>
  </si>
  <si>
    <t>Arya Redwyne</t>
  </si>
  <si>
    <t>000.000.333-00</t>
  </si>
  <si>
    <t>Varys Bracken</t>
  </si>
  <si>
    <t>000.000.215-00</t>
  </si>
  <si>
    <t>Porto Real</t>
  </si>
  <si>
    <t>Brienne Royce</t>
  </si>
  <si>
    <t>10800</t>
  </si>
  <si>
    <t>Rickon Redwyne</t>
  </si>
  <si>
    <t>15000</t>
  </si>
  <si>
    <t>Tormund Karstark</t>
  </si>
  <si>
    <t>000.000.284-00</t>
  </si>
  <si>
    <t>Bran Dayne</t>
  </si>
  <si>
    <t>000.000.288-00</t>
  </si>
  <si>
    <t>000.000.294-00</t>
  </si>
  <si>
    <t>Aegon Frey</t>
  </si>
  <si>
    <t>000.000.338-00</t>
  </si>
  <si>
    <t>Daenerys Snow</t>
  </si>
  <si>
    <t>14200</t>
  </si>
  <si>
    <t>Asha Baratheon</t>
  </si>
  <si>
    <t>000.000.195-00</t>
  </si>
  <si>
    <t>Rickon Crakehall</t>
  </si>
  <si>
    <t>000.000.066-00</t>
  </si>
  <si>
    <t>Atalaia da Água Cinzenta</t>
  </si>
  <si>
    <t>Gargalo</t>
  </si>
  <si>
    <t>Eddard Mallister</t>
  </si>
  <si>
    <t>000.000.309-00</t>
  </si>
  <si>
    <t>Daario Clegane</t>
  </si>
  <si>
    <t>000.000.270-00</t>
  </si>
  <si>
    <t>Ellaria Mallister</t>
  </si>
  <si>
    <t>000.000.194-00</t>
  </si>
  <si>
    <t>Stannis Cerwyn</t>
  </si>
  <si>
    <t>3400</t>
  </si>
  <si>
    <t>Ellaria Tarly</t>
  </si>
  <si>
    <t>000.000.026-00</t>
  </si>
  <si>
    <t>Daario Tyrell</t>
  </si>
  <si>
    <t>000.000.251-00</t>
  </si>
  <si>
    <t>Daario Marbrand</t>
  </si>
  <si>
    <t>000.000.014-00</t>
  </si>
  <si>
    <t>Thoros Tarth</t>
  </si>
  <si>
    <t>23900</t>
  </si>
  <si>
    <t>Arya Marbrand</t>
  </si>
  <si>
    <t>000.000.133-00</t>
  </si>
  <si>
    <t>Davos Tyrell</t>
  </si>
  <si>
    <t>16100</t>
  </si>
  <si>
    <t>Lyanna Florent</t>
  </si>
  <si>
    <t>6300</t>
  </si>
  <si>
    <t>Varys Bolton</t>
  </si>
  <si>
    <t>27200</t>
  </si>
  <si>
    <t>Shae Seaworth</t>
  </si>
  <si>
    <t>000.000.030-00</t>
  </si>
  <si>
    <t>Jojen Reed</t>
  </si>
  <si>
    <t>000.000.136-00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</si>
  <si>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</si>
  <si>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</si>
  <si>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</si>
  <si>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</si>
  <si>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</si>
  <si>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</si>
  <si>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</si>
  <si>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</si>
  <si>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</si>
  <si>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</si>
  <si>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 Reed</t>
  </si>
  <si>
    <t>000.000.311-00</t>
  </si>
  <si>
    <t>Daenerys Tallhart</t>
  </si>
  <si>
    <t>000.000.092-00</t>
  </si>
  <si>
    <t>Lyanna Marbrand</t>
  </si>
  <si>
    <t>000.000.283-00</t>
  </si>
  <si>
    <t>Ramsay Dondarrion</t>
  </si>
  <si>
    <t>000.000.054-00</t>
  </si>
  <si>
    <t>Thoros Baelish</t>
  </si>
  <si>
    <t>000.000.011-00</t>
  </si>
  <si>
    <t>Melisandre Blackwood</t>
  </si>
  <si>
    <t>000.000.051-00</t>
  </si>
  <si>
    <t>Yara Baelish</t>
  </si>
  <si>
    <t>34400</t>
  </si>
  <si>
    <t>Solar do Entardecer</t>
  </si>
  <si>
    <t>Cersei Stark</t>
  </si>
  <si>
    <t>000.000.293-00</t>
  </si>
  <si>
    <t>Jon Karstark</t>
  </si>
  <si>
    <t>000.000.139-00</t>
  </si>
  <si>
    <t>Yara Royce</t>
  </si>
  <si>
    <t>32000</t>
  </si>
  <si>
    <t>Jeor Lannister</t>
  </si>
  <si>
    <t>000.000.091-00</t>
  </si>
  <si>
    <t>Bran Florent</t>
  </si>
  <si>
    <t>000.000.218-00</t>
  </si>
  <si>
    <t>Jojen Redwyne</t>
  </si>
  <si>
    <t>000.000.334-00</t>
  </si>
  <si>
    <t>Bronn Mallister</t>
  </si>
  <si>
    <t>000.000.200-00</t>
  </si>
  <si>
    <t>Olenna Reed</t>
  </si>
  <si>
    <t>000.000.248-00</t>
  </si>
  <si>
    <t>Jon Hightower</t>
  </si>
  <si>
    <t>000.000.081-00</t>
  </si>
  <si>
    <t>Renly Dayne</t>
  </si>
  <si>
    <t>000.000.065-00</t>
  </si>
  <si>
    <t>Missandei Karstark</t>
  </si>
  <si>
    <t>000.000.044-00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</si>
  <si>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</si>
  <si>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</si>
  <si>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</si>
  <si>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</si>
  <si>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</si>
  <si>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</si>
  <si>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</si>
  <si>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20700</t>
  </si>
  <si>
    <t>Stannis Redwyne</t>
  </si>
  <si>
    <t>000.000.216-00</t>
  </si>
  <si>
    <t>000.000.277-00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</si>
  <si>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</si>
  <si>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</si>
  <si>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</si>
  <si>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</si>
  <si>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</si>
  <si>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</si>
  <si>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</si>
  <si>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</si>
  <si>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Loras Payne</t>
  </si>
  <si>
    <t>000.000.027-00</t>
  </si>
  <si>
    <t>000.000.196-00</t>
  </si>
  <si>
    <t>Aegon Baelish</t>
  </si>
  <si>
    <t>24000</t>
  </si>
  <si>
    <t>Melisandre Targaryen</t>
  </si>
  <si>
    <t>000.000.170-00</t>
  </si>
  <si>
    <t>Bloqueado</t>
  </si>
  <si>
    <t>Roose Cerwyn</t>
  </si>
  <si>
    <t>000.000.047-00</t>
  </si>
  <si>
    <t>Shae Frey</t>
  </si>
  <si>
    <t>12700</t>
  </si>
  <si>
    <t>Lyanna Swyft</t>
  </si>
  <si>
    <t>18000</t>
  </si>
  <si>
    <t>Rhaegar Targaryen</t>
  </si>
  <si>
    <t>000.000.342-00</t>
  </si>
  <si>
    <t>Varys Targaryen</t>
  </si>
  <si>
    <t>000.000.234-00</t>
  </si>
  <si>
    <t>Robb Stark</t>
  </si>
  <si>
    <t>000.000.228-00</t>
  </si>
  <si>
    <t>Gendry Hightower</t>
  </si>
  <si>
    <t>000.000.167-00</t>
  </si>
  <si>
    <t>Tormund Glover</t>
  </si>
  <si>
    <t>000.000.087-00</t>
  </si>
  <si>
    <t>Tyrion Snow</t>
  </si>
  <si>
    <t>27900</t>
  </si>
  <si>
    <t>Beric Umber</t>
  </si>
  <si>
    <t>Varys Florent</t>
  </si>
  <si>
    <t>26400</t>
  </si>
  <si>
    <t>Catelyn Umber</t>
  </si>
  <si>
    <t>9900</t>
  </si>
  <si>
    <t>Samwell Glover</t>
  </si>
  <si>
    <t>16000</t>
  </si>
  <si>
    <t>Thoros Clegane</t>
  </si>
  <si>
    <t>000.000.141-00</t>
  </si>
  <si>
    <t>Theon Baratheon</t>
  </si>
  <si>
    <t>000.000.375-00</t>
  </si>
  <si>
    <t>Melisandre Baelish</t>
  </si>
  <si>
    <t>000.000.152-00</t>
  </si>
  <si>
    <t>Robert Yronwood</t>
  </si>
  <si>
    <t>000.000.075-00</t>
  </si>
  <si>
    <t>Meera Reed</t>
  </si>
  <si>
    <t>000.000.314-00</t>
  </si>
  <si>
    <t>Tormund Royce</t>
  </si>
  <si>
    <t>000.000.297-00</t>
  </si>
  <si>
    <t>8900</t>
  </si>
  <si>
    <t>8300</t>
  </si>
  <si>
    <t>Tyrion Karstark</t>
  </si>
  <si>
    <t>3800</t>
  </si>
  <si>
    <t>Missandei Florent</t>
  </si>
  <si>
    <t>000.000.282-00</t>
  </si>
  <si>
    <t>Varys Stark</t>
  </si>
  <si>
    <t>37700</t>
  </si>
  <si>
    <t>Jeor Karstark</t>
  </si>
  <si>
    <t>000.000.310-00</t>
  </si>
  <si>
    <t>Renly Mormont</t>
  </si>
  <si>
    <t>000.000.376-00</t>
  </si>
  <si>
    <t>Eddard Royce</t>
  </si>
  <si>
    <t>000.000.181-00</t>
  </si>
  <si>
    <t>Rhaegar Lannister</t>
  </si>
  <si>
    <t>37000</t>
  </si>
  <si>
    <t>Varys Blackwood</t>
  </si>
  <si>
    <t>000.000.373-00</t>
  </si>
  <si>
    <t>Eddard Westerling</t>
  </si>
  <si>
    <t>000.000.094-00</t>
  </si>
  <si>
    <t>26700</t>
  </si>
  <si>
    <t>Olenna Bracken</t>
  </si>
  <si>
    <t>000.000.225-00</t>
  </si>
  <si>
    <t>Aegon Marbrand</t>
  </si>
  <si>
    <t>35200</t>
  </si>
  <si>
    <t>Beric Tyrell</t>
  </si>
  <si>
    <t>000.000.242-00</t>
  </si>
  <si>
    <t>Asha Manderly</t>
  </si>
  <si>
    <t>000.000.357-00</t>
  </si>
  <si>
    <t>Ellaria Mormont</t>
  </si>
  <si>
    <t>000.000.157-00</t>
  </si>
  <si>
    <t>Grey Worm Baratheon</t>
  </si>
  <si>
    <t>000.000.221-00</t>
  </si>
  <si>
    <t>Ellaria Swyft</t>
  </si>
  <si>
    <t>000.000.115-00</t>
  </si>
  <si>
    <t>Grey Worm Greyjoy</t>
  </si>
  <si>
    <t>000.000.182-00</t>
  </si>
  <si>
    <t>Jeor Payne</t>
  </si>
  <si>
    <t>20900</t>
  </si>
  <si>
    <t>Bronn Royce</t>
  </si>
  <si>
    <t>36900</t>
  </si>
  <si>
    <t>Robert Hornwood</t>
  </si>
  <si>
    <t>000.000.259-00</t>
  </si>
  <si>
    <t>Asha Bolton</t>
  </si>
  <si>
    <t>6900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</si>
  <si>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</si>
  <si>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</si>
  <si>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</si>
  <si>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</si>
  <si>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</si>
  <si>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</si>
  <si>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</si>
  <si>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23700</t>
  </si>
  <si>
    <t>Ramsay Stark</t>
  </si>
  <si>
    <t>000.000.169-00</t>
  </si>
  <si>
    <t>Thoros Karstark</t>
  </si>
  <si>
    <t>000.000.012-00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</si>
  <si>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</si>
  <si>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</si>
  <si>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</si>
  <si>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</si>
  <si>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</si>
  <si>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</si>
  <si>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</si>
  <si>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27300</t>
  </si>
  <si>
    <t>Sandor Westerling</t>
  </si>
  <si>
    <t>33700</t>
  </si>
  <si>
    <t>Gilly Frey</t>
  </si>
  <si>
    <t>000.000.258-00</t>
  </si>
  <si>
    <t>Loras Bracken</t>
  </si>
  <si>
    <t>000.000.254-00</t>
  </si>
  <si>
    <t>Varys Tallhart</t>
  </si>
  <si>
    <t>Roose Bracken</t>
  </si>
  <si>
    <t>18800</t>
  </si>
  <si>
    <t>Varys Arryn</t>
  </si>
  <si>
    <t>000.000.097-00</t>
  </si>
  <si>
    <t>Asha Redwyne</t>
  </si>
  <si>
    <t>10200</t>
  </si>
  <si>
    <t>Beric Tallhart</t>
  </si>
  <si>
    <t>000.000.291-00</t>
  </si>
  <si>
    <t>Margaery Cerwyn</t>
  </si>
  <si>
    <t>000.000.211-00</t>
  </si>
  <si>
    <t>4000</t>
  </si>
  <si>
    <t>Loras Frey</t>
  </si>
  <si>
    <t>000.000.017-00</t>
  </si>
  <si>
    <t>Bran Karstark</t>
  </si>
  <si>
    <t>000.000.241-00</t>
  </si>
  <si>
    <t>Robert Cerwyn</t>
  </si>
  <si>
    <t>30000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</si>
  <si>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</si>
  <si>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</si>
  <si>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</si>
  <si>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</si>
  <si>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</si>
  <si>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</si>
  <si>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</si>
  <si>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</si>
  <si>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</si>
  <si>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</si>
  <si>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</si>
  <si>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</si>
  <si>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</si>
  <si>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</si>
  <si>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</si>
  <si>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</si>
  <si>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Lyanna Stark</t>
  </si>
  <si>
    <t>000.000.023-00</t>
  </si>
  <si>
    <t>Rhaegar Tallhart</t>
  </si>
  <si>
    <t>34800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</si>
  <si>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</si>
  <si>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</si>
  <si>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</si>
  <si>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</si>
  <si>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</si>
  <si>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</si>
  <si>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</si>
  <si>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</si>
  <si>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Daario Cerwyn</t>
  </si>
  <si>
    <t>17500</t>
  </si>
  <si>
    <t>Catelyn Tarly</t>
  </si>
  <si>
    <t>16300</t>
  </si>
  <si>
    <t>Rickon Lannister</t>
  </si>
  <si>
    <t>000.000.197-00</t>
  </si>
  <si>
    <t>Jorah Marbrand</t>
  </si>
  <si>
    <t>000.000.168-00</t>
  </si>
  <si>
    <t>Renly Seaworth</t>
  </si>
  <si>
    <t>35000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</si>
  <si>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</si>
  <si>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</si>
  <si>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</si>
  <si>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</si>
  <si>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</si>
  <si>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</si>
  <si>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</si>
  <si>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</si>
  <si>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Jaime Yronwood</t>
  </si>
  <si>
    <t>Thoros Payne</t>
  </si>
  <si>
    <t>7700</t>
  </si>
  <si>
    <t>000.000.006-00</t>
  </si>
  <si>
    <t>Theon Tarth</t>
  </si>
  <si>
    <t>000.000.289-00</t>
  </si>
  <si>
    <t>Stannis Seaworth</t>
  </si>
  <si>
    <t>000.000.316-00</t>
  </si>
  <si>
    <t>Grey Worm Dondarrion</t>
  </si>
  <si>
    <t>23300</t>
  </si>
  <si>
    <t>Olenna Arryn</t>
  </si>
  <si>
    <t>9600</t>
  </si>
  <si>
    <t>Tyrion Tyrell</t>
  </si>
  <si>
    <t>19000</t>
  </si>
  <si>
    <t>Robb Clegane</t>
  </si>
  <si>
    <t>000.000.304-00</t>
  </si>
  <si>
    <t>Bran Dondarrion</t>
  </si>
  <si>
    <t>4900</t>
  </si>
  <si>
    <t>Jeor Baelish</t>
  </si>
  <si>
    <t>000.000.332-00</t>
  </si>
  <si>
    <t>Jaime Dondarrion</t>
  </si>
  <si>
    <t>000.000.056-00</t>
  </si>
  <si>
    <t>Loras Manderly</t>
  </si>
  <si>
    <t>27800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</si>
  <si>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</si>
  <si>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</si>
  <si>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</si>
  <si>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</si>
  <si>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</si>
  <si>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</si>
  <si>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</si>
  <si>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</si>
  <si>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</si>
  <si>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9800</t>
  </si>
  <si>
    <t>Shae Mormont</t>
  </si>
  <si>
    <t>000.000.114-00</t>
  </si>
  <si>
    <t>Renly Bolton</t>
  </si>
  <si>
    <t>000.000.303-00</t>
  </si>
  <si>
    <t>Grey Worm Hornwood</t>
  </si>
  <si>
    <t>000.000.322-00</t>
  </si>
  <si>
    <t>Rhaegar Dayne</t>
  </si>
  <si>
    <t>000.000.335-00</t>
  </si>
  <si>
    <t>Bran Bolton</t>
  </si>
  <si>
    <t>000.000.003-00</t>
  </si>
  <si>
    <t>Shae Tarly</t>
  </si>
  <si>
    <t>000.000.235-00</t>
  </si>
  <si>
    <t>000.000.307-00</t>
  </si>
  <si>
    <t>Melisandre Crakehall</t>
  </si>
  <si>
    <t>000.000.260-00</t>
  </si>
  <si>
    <t>000.000.008-00</t>
  </si>
  <si>
    <t>Petyr Snow</t>
  </si>
  <si>
    <t>21900</t>
  </si>
  <si>
    <t>Robert Tarth</t>
  </si>
  <si>
    <t>000.000.001-00</t>
  </si>
  <si>
    <t>Robb Greyjoy</t>
  </si>
  <si>
    <t>000.000.227-00</t>
  </si>
  <si>
    <t>Yara Marbrand</t>
  </si>
  <si>
    <t>000.000.266-00</t>
  </si>
  <si>
    <t>Cersei Marbrand</t>
  </si>
  <si>
    <t>000.000.158-00</t>
  </si>
  <si>
    <t>000.000.020-00</t>
  </si>
  <si>
    <t>Yara Tallhart</t>
  </si>
  <si>
    <t>6400</t>
  </si>
  <si>
    <t>Gilly Mormont</t>
  </si>
  <si>
    <t>000.000.220-00</t>
  </si>
  <si>
    <t>Brienne Dondarrion</t>
  </si>
  <si>
    <t>000.000.256-00</t>
  </si>
  <si>
    <t>Missandei Glover</t>
  </si>
  <si>
    <t>30500</t>
  </si>
  <si>
    <t>Bronn Manderly</t>
  </si>
  <si>
    <t>000.000.074-00</t>
  </si>
  <si>
    <t>Aegon Florent</t>
  </si>
  <si>
    <t>27100</t>
  </si>
  <si>
    <t>Daario Dayne</t>
  </si>
  <si>
    <t>000.000.144-00</t>
  </si>
  <si>
    <t>34900</t>
  </si>
  <si>
    <t>Roose Dondarrion</t>
  </si>
  <si>
    <t>000.000.126-00</t>
  </si>
  <si>
    <t>Stannis Greyjoy</t>
  </si>
  <si>
    <t>000.000.236-00</t>
  </si>
  <si>
    <t>Thoros Greyjoy</t>
  </si>
  <si>
    <t>000.000.043-00</t>
  </si>
  <si>
    <t>Thoros Crakehall</t>
  </si>
  <si>
    <t>19300</t>
  </si>
  <si>
    <t>Viserys Umber</t>
  </si>
  <si>
    <t>000.000.155-00</t>
  </si>
  <si>
    <t>Cersei Greyjoy</t>
  </si>
  <si>
    <t>000.000.265-00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</si>
  <si>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</si>
  <si>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</si>
  <si>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</si>
  <si>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</si>
  <si>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</si>
  <si>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</si>
  <si>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</si>
  <si>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</si>
  <si>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</si>
  <si>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24300</t>
  </si>
  <si>
    <t>Jojen Hornwood</t>
  </si>
  <si>
    <t>000.000.128-00</t>
  </si>
  <si>
    <t>Theon Baelish</t>
  </si>
  <si>
    <t>000.000.380-00</t>
  </si>
  <si>
    <t>Aegon Hornwood</t>
  </si>
  <si>
    <t>17100</t>
  </si>
  <si>
    <t>Ellaria Redwyne</t>
  </si>
  <si>
    <t>000.000.093-00</t>
  </si>
  <si>
    <t>Missandei Redwyne</t>
  </si>
  <si>
    <t>000.000.111-00</t>
  </si>
  <si>
    <t>000.000.007-00</t>
  </si>
  <si>
    <t>Eddard Payne</t>
  </si>
  <si>
    <t>15900</t>
  </si>
  <si>
    <t>Cersei Glover</t>
  </si>
  <si>
    <t>000.000.324-00</t>
  </si>
  <si>
    <t>Theon Karstark</t>
  </si>
  <si>
    <t>000.000.296-00</t>
  </si>
  <si>
    <t>Jon Cerwyn</t>
  </si>
  <si>
    <t>000.000.112-00</t>
  </si>
  <si>
    <t>Jon Bolton</t>
  </si>
  <si>
    <t>000.000.130-00</t>
  </si>
  <si>
    <t>Robert Stark</t>
  </si>
  <si>
    <t>000.000.315-00</t>
  </si>
  <si>
    <t>Tyrion Lannister</t>
  </si>
  <si>
    <t>2800</t>
  </si>
  <si>
    <t>Eddard Greyjoy</t>
  </si>
  <si>
    <t>000.000.238-00</t>
  </si>
  <si>
    <t>000.000.374-00</t>
  </si>
  <si>
    <t>Gilly Marbrand</t>
  </si>
  <si>
    <t>15600</t>
  </si>
  <si>
    <t>Catelyn Lannister</t>
  </si>
  <si>
    <t>000.000.110-00</t>
  </si>
  <si>
    <t>Gendry Cerwyn</t>
  </si>
  <si>
    <t>000.000.153-00</t>
  </si>
  <si>
    <t>Jon Dayne</t>
  </si>
  <si>
    <t>31900</t>
  </si>
  <si>
    <t>Renly Blackwood</t>
  </si>
  <si>
    <t>000.000.106-00</t>
  </si>
  <si>
    <t>Davos Baratheon</t>
  </si>
  <si>
    <t>000.000.055-00</t>
  </si>
  <si>
    <t>Bronn Crakehall</t>
  </si>
  <si>
    <t>29500</t>
  </si>
  <si>
    <t>000.000.339-00</t>
  </si>
  <si>
    <t>Cersei Umber</t>
  </si>
  <si>
    <t>000.000.058-00</t>
  </si>
  <si>
    <t>Petyr Yronwood</t>
  </si>
  <si>
    <t>000.000.095-00</t>
  </si>
  <si>
    <t>Robert Westerling</t>
  </si>
  <si>
    <t>000.000.105-00</t>
  </si>
  <si>
    <t>Jon Tarth</t>
  </si>
  <si>
    <t>000.000.208-00</t>
  </si>
  <si>
    <t>Jaime Seaworth</t>
  </si>
  <si>
    <t>000.000.263-00</t>
  </si>
  <si>
    <t>Jorah Tyrell</t>
  </si>
  <si>
    <t>000.000.229-00</t>
  </si>
  <si>
    <t>Eddard Stark</t>
  </si>
  <si>
    <t>000.000.015-00</t>
  </si>
  <si>
    <t>Lyanna Tarly</t>
  </si>
  <si>
    <t>000.000.232-00</t>
  </si>
  <si>
    <t>Cersei Tarth</t>
  </si>
  <si>
    <t>000.000.147-00</t>
  </si>
  <si>
    <t>Catelyn Mallister</t>
  </si>
  <si>
    <t>000.000.062-00</t>
  </si>
  <si>
    <t>Brienne Mallister</t>
  </si>
  <si>
    <t>000.000.202-00</t>
  </si>
  <si>
    <t>Stannis Crakehall</t>
  </si>
  <si>
    <t>000.000.351-00</t>
  </si>
  <si>
    <t>Sansa Dondarrion</t>
  </si>
  <si>
    <t>000.000.101-00</t>
  </si>
  <si>
    <t>Beric Karstark</t>
  </si>
  <si>
    <t>000.000.172-00</t>
  </si>
  <si>
    <t>Bran Umber</t>
  </si>
  <si>
    <t>13200</t>
  </si>
  <si>
    <t>000.000.104-00</t>
  </si>
  <si>
    <t>Davos Umber</t>
  </si>
  <si>
    <t>000.000.353-00</t>
  </si>
  <si>
    <t>Aegon Redwyne</t>
  </si>
  <si>
    <t>000.000.347-00</t>
  </si>
  <si>
    <t>32700</t>
  </si>
  <si>
    <t>Margaery Dondarrion</t>
  </si>
  <si>
    <t>19200</t>
  </si>
  <si>
    <t>28500</t>
  </si>
  <si>
    <t>Roose Bolton</t>
  </si>
  <si>
    <t>13700</t>
  </si>
  <si>
    <t>Jon Hornwood</t>
  </si>
  <si>
    <t>33100</t>
  </si>
  <si>
    <t>Shae Dayne</t>
  </si>
  <si>
    <t>000.000.312-00</t>
  </si>
  <si>
    <t>Petyr Swyft</t>
  </si>
  <si>
    <t>000.000.275-00</t>
  </si>
  <si>
    <t>Jaime Bracken</t>
  </si>
  <si>
    <t>16600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</si>
  <si>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</si>
  <si>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</si>
  <si>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</si>
  <si>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</si>
  <si>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</si>
  <si>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</si>
  <si>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</si>
  <si>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</si>
  <si>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</si>
  <si>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</si>
  <si>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</si>
  <si>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</si>
  <si>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Lyanna Westerling</t>
  </si>
  <si>
    <t>17900</t>
  </si>
  <si>
    <t>000.000.004-00</t>
  </si>
  <si>
    <t>Renly Stark</t>
  </si>
  <si>
    <t>25200</t>
  </si>
  <si>
    <t>Olenna Hornwood</t>
  </si>
  <si>
    <t>29900</t>
  </si>
  <si>
    <t>Aegon Blackwood</t>
  </si>
  <si>
    <t>000.000.118-00</t>
  </si>
  <si>
    <t>Brienne Glover</t>
  </si>
  <si>
    <t>000.000.355-00</t>
  </si>
  <si>
    <t>Ellaria Cerwyn</t>
  </si>
  <si>
    <t>000.000.019-00</t>
  </si>
  <si>
    <t>Loras Lannister</t>
  </si>
  <si>
    <t>000.000.302-00</t>
  </si>
  <si>
    <t>000.000.103-00</t>
  </si>
  <si>
    <t>Catelyn Dayne</t>
  </si>
  <si>
    <t>000.000.213-00</t>
  </si>
  <si>
    <t>Lyanna Tarth</t>
  </si>
  <si>
    <t>000.000.345-00</t>
  </si>
  <si>
    <t>Varys Lannister</t>
  </si>
  <si>
    <t>000.000.367-00</t>
  </si>
  <si>
    <t>Ellaria Targaryen</t>
  </si>
  <si>
    <t>000.000.149-00</t>
  </si>
  <si>
    <t>000.000.010-00</t>
  </si>
  <si>
    <t>36000</t>
  </si>
  <si>
    <t>Bronn Baratheon</t>
  </si>
  <si>
    <t>32500</t>
  </si>
  <si>
    <t>Jojen Dayne</t>
  </si>
  <si>
    <t>000.000.199-00</t>
  </si>
  <si>
    <t>Sandor Clegane</t>
  </si>
  <si>
    <t>000.000.164-00</t>
  </si>
  <si>
    <t>Thoros Westerling</t>
  </si>
  <si>
    <t>25700</t>
  </si>
  <si>
    <t>Stannis Westerling</t>
  </si>
  <si>
    <t>000.000.071-00</t>
  </si>
  <si>
    <t>000.000.079-00</t>
  </si>
  <si>
    <t>Melisandre Cerwyn</t>
  </si>
  <si>
    <t>000.000.120-00</t>
  </si>
  <si>
    <t>Thoros Frey</t>
  </si>
  <si>
    <t>000.000.113-00</t>
  </si>
  <si>
    <t>34000</t>
  </si>
  <si>
    <t>Gilly Glover</t>
  </si>
  <si>
    <t>2200</t>
  </si>
  <si>
    <t>Robb Reed</t>
  </si>
  <si>
    <t>000.000.246-00</t>
  </si>
  <si>
    <t>Petyr Mallister</t>
  </si>
  <si>
    <t>11600</t>
  </si>
  <si>
    <t>20300</t>
  </si>
  <si>
    <t>Rickon Frey</t>
  </si>
  <si>
    <t>000.000.013-00</t>
  </si>
  <si>
    <t>Loras Tarth</t>
  </si>
  <si>
    <t>000.000.286-00</t>
  </si>
  <si>
    <t>Theon Frey</t>
  </si>
  <si>
    <t>000.000.123-00</t>
  </si>
  <si>
    <t>Renly Tallhart</t>
  </si>
  <si>
    <t>11700</t>
  </si>
  <si>
    <t>Yara Mallister</t>
  </si>
  <si>
    <t>000.000.134-00</t>
  </si>
  <si>
    <t>Grey Worm Targaryen</t>
  </si>
  <si>
    <t>000.000.060-00</t>
  </si>
  <si>
    <t>Sandor Dondarrion</t>
  </si>
  <si>
    <t>8200</t>
  </si>
  <si>
    <t>Robert Manderly</t>
  </si>
  <si>
    <t>23000</t>
  </si>
  <si>
    <t>Margaery Tyrell</t>
  </si>
  <si>
    <t>000.000.107-00</t>
  </si>
  <si>
    <t>Daario Tarly</t>
  </si>
  <si>
    <t>000.000.046-00</t>
  </si>
  <si>
    <t>Tyrion Clegane</t>
  </si>
  <si>
    <t>000.000.281-00</t>
  </si>
  <si>
    <t>Viserys Hightower</t>
  </si>
  <si>
    <t>000.000.080-00</t>
  </si>
  <si>
    <t>Aegon Umber</t>
  </si>
  <si>
    <t>000.000.356-00</t>
  </si>
  <si>
    <t>Melisandre Glover</t>
  </si>
  <si>
    <t>000.000.329-00</t>
  </si>
  <si>
    <t>Jon Baelish</t>
  </si>
  <si>
    <t>21400</t>
  </si>
  <si>
    <t>Bran Tarly</t>
  </si>
  <si>
    <t>000.000.269-00</t>
  </si>
  <si>
    <t>Eddard Dayne</t>
  </si>
  <si>
    <t>3200</t>
  </si>
  <si>
    <t>000.000.280-00</t>
  </si>
  <si>
    <t>20600</t>
  </si>
  <si>
    <t>Rhaegar Payne</t>
  </si>
  <si>
    <t>000.000.253-00</t>
  </si>
  <si>
    <t>Bronn Dondarrion</t>
  </si>
  <si>
    <t>000.000.036-00</t>
  </si>
  <si>
    <t>Ellaria Yronwood</t>
  </si>
  <si>
    <t>000.000.176-00</t>
  </si>
  <si>
    <t>Olenna Lannister</t>
  </si>
  <si>
    <t>000.000.212-00</t>
  </si>
  <si>
    <t>000.000.042-00</t>
  </si>
  <si>
    <t>Sansa Clegane</t>
  </si>
  <si>
    <t>000.000.174-00</t>
  </si>
  <si>
    <t>Daario Yronwood</t>
  </si>
  <si>
    <t>18300</t>
  </si>
  <si>
    <t>Ramsay Karstark</t>
  </si>
  <si>
    <t>000.000.185-00</t>
  </si>
  <si>
    <t>000.000.048-00</t>
  </si>
  <si>
    <t>Meera Lannister</t>
  </si>
  <si>
    <t>000.000.121-00</t>
  </si>
  <si>
    <t>8400</t>
  </si>
  <si>
    <t>000.000.268-00</t>
  </si>
  <si>
    <t>Podrick Umber</t>
  </si>
  <si>
    <t>5300</t>
  </si>
  <si>
    <t>Rickon Hornwood</t>
  </si>
  <si>
    <t>000.000.078-00</t>
  </si>
  <si>
    <t>Arya Bolton</t>
  </si>
  <si>
    <t>7200</t>
  </si>
  <si>
    <t>Ramsay Blackwood</t>
  </si>
  <si>
    <t>000.000.035-00</t>
  </si>
  <si>
    <t>Davos Royce</t>
  </si>
  <si>
    <t>3300</t>
  </si>
  <si>
    <t>Daario Tarth</t>
  </si>
  <si>
    <t>25500</t>
  </si>
  <si>
    <t>Robert Payne</t>
  </si>
  <si>
    <t>000.000.068-00</t>
  </si>
  <si>
    <t>Roose Baelish</t>
  </si>
  <si>
    <t>000.000.366-00</t>
  </si>
  <si>
    <t>Missandei Arryn</t>
  </si>
  <si>
    <t>000.000.368-00</t>
  </si>
  <si>
    <t>000.000.371-00</t>
  </si>
  <si>
    <t>Podrick Stark</t>
  </si>
  <si>
    <t>000.000.029-00</t>
  </si>
  <si>
    <t>000.000.262-00</t>
  </si>
  <si>
    <t>Jorah Stark</t>
  </si>
  <si>
    <t>000.000.021-00</t>
  </si>
  <si>
    <t>Roose Frey</t>
  </si>
  <si>
    <t>000.000.292-00</t>
  </si>
  <si>
    <t>Tyrion Westerling</t>
  </si>
  <si>
    <t>29000</t>
  </si>
  <si>
    <t>Shae Blackwood</t>
  </si>
  <si>
    <t>14500</t>
  </si>
  <si>
    <t>Aegon Clegane</t>
  </si>
  <si>
    <t>000.000.330-00</t>
  </si>
  <si>
    <t>Margaery Redwyne</t>
  </si>
  <si>
    <t>1800</t>
  </si>
  <si>
    <t>Etapa</t>
  </si>
  <si>
    <t>Problema encontrado</t>
  </si>
  <si>
    <t>Coluna</t>
  </si>
  <si>
    <t>O que foi feito</t>
  </si>
  <si>
    <t>Por quê</t>
  </si>
  <si>
    <t>1. Estrutura</t>
  </si>
  <si>
    <t>29 linhas totalmente vazias no fim do arquivo</t>
  </si>
  <si>
    <t>todas</t>
  </si>
  <si>
    <t>Removidas.</t>
  </si>
  <si>
    <t>Linha sem nenhum valor não é registro; num banco viraria 29 tuplas nulas.</t>
  </si>
  <si>
    <t>2. Estrutura</t>
  </si>
  <si>
    <t>A coluna flag_inadimplente aparecia duas vezes</t>
  </si>
  <si>
    <t>Provei que as duas cópias são idênticas nas 400 linhas e removi uma.</t>
  </si>
  <si>
    <t>Coluna repetida viola a forma normal. Só descartei depois de provar que não havia dado exclusivo.</t>
  </si>
  <si>
    <t>3. Completude</t>
  </si>
  <si>
    <t>32 registros existiam só nas imagens, fora do CSV</t>
  </si>
  <si>
    <t>Transcrevi e anexei; a base fechou em 400 registros.</t>
  </si>
  <si>
    <t>O enunciado declara cerca de 400. Sem isso, 8% dos clientes ficariam fora da análise.</t>
  </si>
  <si>
    <t>4. Duplicidade</t>
  </si>
  <si>
    <t>20 pares de linhas com mesmo nome e mesmo cpf</t>
  </si>
  <si>
    <t>Não removi nenhuma linha.</t>
  </si>
  <si>
    <t>Divergem só em valor_solicitado: é o mesmo cliente com duas solicitações, não duplicata.</t>
  </si>
  <si>
    <t>5. status</t>
  </si>
  <si>
    <t>Ativo/ATIVO/ativo, o erro "Ativoo" em 9, "loqueado" em 1 e 7 vazios</t>
  </si>
  <si>
    <t>Padronizei em Ativo / Inativo / Bloqueado / Não informado.</t>
  </si>
  <si>
    <t>Só Ativo libera crédito: a grafia decide dinheiro. Vazio não foi inventado.</t>
  </si>
  <si>
    <t>6. nome</t>
  </si>
  <si>
    <t>24 com espaço duplo, 21 em caixa alta e 17 em minúscula</t>
  </si>
  <si>
    <t>Colapsei espaços e padronizei em Nome Próprio.</t>
  </si>
  <si>
    <t>O nome entra na chave de identidade; sem padronizar vira cliente diferente.</t>
  </si>
  <si>
    <t>7. cpf</t>
  </si>
  <si>
    <t>267 na máscara 000.000.NNN-00, 98 números soltos e 3 vazios</t>
  </si>
  <si>
    <t>cpf, cpf_padronizado</t>
  </si>
  <si>
    <t>Mantive o valor original e criei cpf_padronizado (Sim/Não).</t>
  </si>
  <si>
    <t>Os 98 não são CPF truncado; inventar máscara criaria identificador falso.</t>
  </si>
  <si>
    <t>8. data_nascimento</t>
  </si>
  <si>
    <t>191 como número de série do Excel, 164 em dd/mm/aaaa e 14 vazias</t>
  </si>
  <si>
    <t>Converti tudo para data real; as vazias ficaram vazias.</t>
  </si>
  <si>
    <t>Dois formatos impedem ordenar e calcular. Não estimei data a partir da idade.</t>
  </si>
  <si>
    <t>9. idade</t>
  </si>
  <si>
    <t>19 vazias e 9 escritas como texto ("46 anos")</t>
  </si>
  <si>
    <t>Recalculei a partir de data_nascimento, com data de referência 09/09/2026.</t>
  </si>
  <si>
    <t>As duas colunas concordavam em 336 de 336 pares: era recuperável, não estimada.</t>
  </si>
  <si>
    <t>10. cidade</t>
  </si>
  <si>
    <t>Em 25 linhas a célula trazia "Cidade | Região" junto</t>
  </si>
  <si>
    <t>cidade, regiao</t>
  </si>
  <si>
    <t>Separei no "|".</t>
  </si>
  <si>
    <t>Duas informações numa célula violam a primeira forma normal.</t>
  </si>
  <si>
    <t>11. regiao</t>
  </si>
  <si>
    <t>37 vazias e 37 grafias diferentes para as mesmas 11 regiões</t>
  </si>
  <si>
    <t>Padronizei a caixa e preenchi as vazias pelo mapa cidade para região.</t>
  </si>
  <si>
    <t>O mapa é 1:1 nas 400 linhas: é recuperação de dado que a base já tinha, não estimativa.</t>
  </si>
  <si>
    <t>12. renda_mensal</t>
  </si>
  <si>
    <t>Quatro formatos, mais "sem renda" em 4 linhas e 9 vazias</t>
  </si>
  <si>
    <t>Converti para número; "sem renda" e vazio viraram célula vazia.</t>
  </si>
  <si>
    <t>"sem renda" não é zero: zero afirma renda nula, vazio admite desconhecimento.</t>
  </si>
  <si>
    <t>13. credito_tomado</t>
  </si>
  <si>
    <t>Quatro formatos, mais "N/A" em 8 linhas e 12 vazias</t>
  </si>
  <si>
    <t>Converti para número; "N/A" e vazio viraram célula vazia.</t>
  </si>
  <si>
    <t>Aqui zero é valor legítimo (nunca tomou crédito), então não pode virar sinônimo de ausência.</t>
  </si>
  <si>
    <t>14. credito_tomado</t>
  </si>
  <si>
    <t>3 clientes com crédito divergente entre suas duas solicitações</t>
  </si>
  <si>
    <t>Propaguei o valor não-zero para as duas linhas do cliente.</t>
  </si>
  <si>
    <t>Crédito tomado é do cliente e não cai a zero entre pedidos. Os 3 são abaixo de R$ 50.000: nenhuma liberação mudou.</t>
  </si>
  <si>
    <t>15. flag_inadimplente</t>
  </si>
  <si>
    <t>Dez grafias para dois valores (Sim, sim, SIM, Não, NÃO, Nao, 1, 0) e 11 vazias</t>
  </si>
  <si>
    <t>Padronizei em Sim / Não; as vazias ficaram vazias.</t>
  </si>
  <si>
    <t>Com dez grafias nenhuma comparação funciona e o inadimplente escapa do filtro.</t>
  </si>
  <si>
    <t>16. qtde_batalhas</t>
  </si>
  <si>
    <t>30 valores como texto ("38 batalhas") e 6 vazios</t>
  </si>
  <si>
    <t>Extraí o número.</t>
  </si>
  <si>
    <t>É a origem do nível de risco; como texto não compara com 10 nem com 25.</t>
  </si>
  <si>
    <t>17. valor_solicitado</t>
  </si>
  <si>
    <t>Nenhum problema: 400 valores numéricos e íntegros</t>
  </si>
  <si>
    <t>Só apliquei formato de moeda.</t>
  </si>
  <si>
    <t>Auditoria também precisa registrar o que estava certo.</t>
  </si>
  <si>
    <t>18. nivel_risco</t>
  </si>
  <si>
    <t>A coluna existia e estava 100% vazia (400 de 400)</t>
  </si>
  <si>
    <t>Fórmula: até 10 Baixo, 11 a 25 Médio, acima de 25 Alto. Deu 181 / 126 / 87 e 6 sem classificar.</t>
  </si>
  <si>
    <t>Era coluna para preencher, não para limpar. Sem batalhas, classificar seria inventar risco.</t>
  </si>
  <si>
    <t>19. analise_risco</t>
  </si>
  <si>
    <t>Primeira análise pedida pelo enunciado</t>
  </si>
  <si>
    <t>Fórmula: risco Alto E inadimplente resulta em Negada. Deu 42 negadas.</t>
  </si>
  <si>
    <t>Conforme o enunciado.</t>
  </si>
  <si>
    <t>20. analise_credito</t>
  </si>
  <si>
    <t>Segunda análise pedida pelo enunciado</t>
  </si>
  <si>
    <t>Fórmula: crédito acima de R$ 50.000 E inadimplente resulta em Negada. Deu 27 negadas.</t>
  </si>
  <si>
    <t>Conforme o enunciado. Crédito vazio não nega, como um NULL em SQL.</t>
  </si>
  <si>
    <t>21. liberacao_credito</t>
  </si>
  <si>
    <t>Terceira análise pedida pelo enunciado</t>
  </si>
  <si>
    <t>Fórmula: as duas negadas resulta em 0; senão, se Ativo, valor vezes 8%. Total R$ 1.112.440 em 284 linhas.</t>
  </si>
  <si>
    <t>Conforme o enunciado. As 103 positivas com status diferente de Ativo foram zeradas.</t>
  </si>
  <si>
    <t>22. Ressalva</t>
  </si>
  <si>
    <t>A regra nega crédito só quando as DUAS análises negam (E)</t>
  </si>
  <si>
    <t>Implementei com E, como está escrito.</t>
  </si>
  <si>
    <t>43 linhas recebem crédito mesmo reprovando numa análise. Com OU seriam 56 negadas em vez de 13.</t>
  </si>
  <si>
    <t>23. Ressalva</t>
  </si>
  <si>
    <t>O enunciado diz "multiplicar o valor solicitado pela taxa de juros fixa de 8%"</t>
  </si>
  <si>
    <t>Interpretei ao pé da letra: valor vezes 0,08.</t>
  </si>
  <si>
    <t>A coluna traz os juros, não o valor emprestado. Com 1,08 o total iria a R$ 15.017.940.</t>
  </si>
  <si>
    <t>24. Codificação</t>
  </si>
  <si>
    <t>Arquivo original em Windows-1252, exibindo "Ninho da Águia" corrompido</t>
  </si>
  <si>
    <t>Gravei o CSV em UTF-8 com BOM, delimitador ";", datas ISO 8601 e vazio como NULL.</t>
  </si>
  <si>
    <t>UTF-8 evita acento corrompido no import e ISO 8601 elimina a ambiguidade entre dia e mês.</t>
  </si>
  <si>
    <t>Atividade Extra - Analise de Risco para Empréstimos</t>
  </si>
  <si>
    <t>Pergunta Essencial</t>
  </si>
  <si>
    <t>Como as solicitações de empréstimo se distribuem entre os níveis de risco e qual grupo concentra mais solicitações?</t>
  </si>
  <si>
    <t>Tipo de Dado</t>
  </si>
  <si>
    <t>Nível de risco: qualitativo ordinal (Baixo, Médio e Alto). Quantidade de solicitações: quantitativo discreto. Participação no total: percentual.</t>
  </si>
  <si>
    <t>Tipo de Pergunta</t>
  </si>
  <si>
    <t>Comparação entre categorias e distribuição das solicitações por nível de risco.</t>
  </si>
  <si>
    <t>Mensagem Principal</t>
  </si>
  <si>
    <t>O risco Alto é o maior grupo: 181 de 400 solicitações (45,25%). Médio representa 31,50%, Baixo 21,75% e 1,50% está sem classificação.</t>
  </si>
  <si>
    <t>Qual Gráfico Usar</t>
  </si>
  <si>
    <t>Gráfico de barras ou colunas, com nível de risco nas categorias e quantidade de solicitações no eixo numérico. Permite comparar os grupos diretamente.</t>
  </si>
  <si>
    <t>Nível de risco</t>
  </si>
  <si>
    <t>Solicitações</t>
  </si>
  <si>
    <t>Participação</t>
  </si>
  <si>
    <t>Alto</t>
  </si>
  <si>
    <t>Médio</t>
  </si>
  <si>
    <t>Baixo</t>
  </si>
  <si>
    <t>Sem classificação</t>
  </si>
  <si>
    <t>Total</t>
  </si>
  <si>
    <t>Observação</t>
  </si>
  <si>
    <t>Critério da base: até 10 batalhas = Baixo; de 11 a 25 = Médio; acima de 25 = Alto. Sem quantidade de batalhas, sem classificação. Esta distribuição não mede a probabilidade de inadimplência.</t>
  </si>
  <si>
    <t>Linha na Base_Limpa</t>
  </si>
  <si>
    <t>Quantidade de batalhas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</si>
</sst>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$-416]\ * #,##0.00_-;\-[$R$-416]\ * #,##0.00_-;_-[$R$-416]\ * &quot;-&quot;??_-;_-@_-"/>
    <numFmt numFmtId="165" formatCode="0.0"/>
    <numFmt numFmtId="166" formatCode="\R\$\ #,##0"/>
  </numFmts>
  <fonts count="15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1"/>
      <color rgb="FF242424"/>
      <name val="Aptos Narrow"/>
      <charset val="1"/>
    </font>
    <font>
      <sz val="11"/>
      <color rgb="FF242424"/>
      <name val="Calibri"/>
      <scheme val="minor"/>
    </font>
    <font>
      <b/>
      <sz val="11"/>
      <color rgb="FFFFFFFF"/>
      <name val="Arial"/>
    </font>
    <font>
      <sz val="11"/>
      <color rgb="FF202830"/>
      <name val="Arial"/>
    </font>
    <font>
      <b/>
      <sz val="11"/>
      <color rgb="FF202830"/>
      <name val="Arial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03B4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0" borderId="5" xfId="0" applyBorder="1"/>
    <xf numFmtId="0" fontId="0" fillId="0" borderId="1" xfId="0" applyBorder="1"/>
    <xf numFmtId="164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5" fontId="0" fillId="0" borderId="0" xfId="0" applyNumberFormat="1" applyBorder="1"/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2" fillId="8" borderId="0" xfId="0" applyFont="1" applyFill="1"/>
    <xf numFmtId="0" fontId="6" fillId="9" borderId="0" xfId="0" applyFont="1" applyFill="1" applyAlignment="1">
      <alignment horizontal="center" vertical="center" wrapText="1"/>
    </xf>
    <xf numFmtId="0" fontId="7" fillId="0" borderId="21" xfId="0" applyFont="1" applyBorder="1"/>
    <xf numFmtId="14" fontId="7" fillId="0" borderId="21" xfId="0" applyNumberFormat="1" applyFont="1" applyBorder="1"/>
    <xf numFmtId="1" fontId="7" fillId="0" borderId="21" xfId="0" applyNumberFormat="1" applyFont="1" applyBorder="1"/>
    <xf numFmtId="166" fontId="7" fillId="0" borderId="21" xfId="0" applyNumberFormat="1" applyFont="1" applyBorder="1"/>
    <xf numFmtId="0" fontId="6" fillId="9" borderId="0" xfId="0" applyFont="1" applyFill="1" applyAlignment="1">
      <alignment horizontal="center" vertical="center"/>
    </xf>
    <xf numFmtId="0" fontId="8" fillId="0" borderId="21" xfId="0" applyFont="1" applyBorder="1" applyAlignment="1">
      <alignment vertical="top" wrapText="1"/>
    </xf>
    <xf numFmtId="0" fontId="7" fillId="0" borderId="21" xfId="0" applyFont="1" applyBorder="1" applyAlignment="1">
      <alignment vertical="top" wrapText="1"/>
    </xf>
    <xf numFmtId="164" fontId="7" fillId="0" borderId="21" xfId="0" applyNumberFormat="1" applyFont="1" applyBorder="1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" fillId="11" borderId="22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3" fillId="12" borderId="25" xfId="0" applyFont="1" applyFill="1" applyBorder="1"/>
    <xf numFmtId="0" fontId="10" fillId="5" borderId="26" xfId="0" applyFont="1" applyFill="1" applyBorder="1" applyAlignment="1">
      <alignment horizontal="left"/>
    </xf>
    <xf numFmtId="0" fontId="3" fillId="12" borderId="27" xfId="0" applyFont="1" applyFill="1" applyBorder="1"/>
    <xf numFmtId="0" fontId="0" fillId="5" borderId="28" xfId="0" applyFill="1" applyBorder="1" applyAlignment="1">
      <alignment horizontal="left"/>
    </xf>
    <xf numFmtId="0" fontId="3" fillId="12" borderId="29" xfId="0" applyFont="1" applyFill="1" applyBorder="1"/>
    <xf numFmtId="0" fontId="0" fillId="5" borderId="30" xfId="0" applyFill="1" applyBorder="1" applyAlignment="1">
      <alignment horizontal="left"/>
    </xf>
    <xf numFmtId="0" fontId="0" fillId="5" borderId="31" xfId="0" applyFill="1" applyBorder="1" applyAlignment="1">
      <alignment horizontal="left"/>
    </xf>
    <xf numFmtId="0" fontId="0" fillId="5" borderId="32" xfId="0" applyFill="1" applyBorder="1" applyAlignment="1">
      <alignment horizontal="left"/>
    </xf>
    <xf numFmtId="0" fontId="11" fillId="13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3" fontId="12" fillId="14" borderId="1" xfId="0" applyNumberFormat="1" applyFont="1" applyFill="1" applyBorder="1"/>
    <xf numFmtId="0" fontId="11" fillId="13" borderId="16" xfId="0" applyFont="1" applyFill="1" applyBorder="1"/>
    <xf numFmtId="0" fontId="11" fillId="13" borderId="17" xfId="0" applyFont="1" applyFill="1" applyBorder="1"/>
    <xf numFmtId="0" fontId="11" fillId="13" borderId="33" xfId="0" applyFont="1" applyFill="1" applyBorder="1"/>
    <xf numFmtId="0" fontId="12" fillId="14" borderId="27" xfId="0" applyFont="1" applyFill="1" applyBorder="1"/>
    <xf numFmtId="10" fontId="12" fillId="14" borderId="28" xfId="0" applyNumberFormat="1" applyFont="1" applyFill="1" applyBorder="1"/>
    <xf numFmtId="0" fontId="13" fillId="14" borderId="29" xfId="0" applyFont="1" applyFill="1" applyBorder="1"/>
    <xf numFmtId="3" fontId="13" fillId="14" borderId="31" xfId="0" applyNumberFormat="1" applyFont="1" applyFill="1" applyBorder="1"/>
    <xf numFmtId="10" fontId="13" fillId="14" borderId="32" xfId="0" applyNumberFormat="1" applyFont="1" applyFill="1" applyBorder="1"/>
    <xf numFmtId="0" fontId="9" fillId="15" borderId="29" xfId="0" applyFont="1" applyFill="1" applyBorder="1" applyAlignment="1">
      <alignment horizontal="center" wrapText="1"/>
    </xf>
    <xf numFmtId="0" fontId="9" fillId="15" borderId="31" xfId="0" applyFont="1" applyFill="1" applyBorder="1" applyAlignment="1">
      <alignment horizontal="center" wrapText="1"/>
    </xf>
    <xf numFmtId="0" fontId="9" fillId="15" borderId="32" xfId="0" applyFont="1" applyFill="1" applyBorder="1" applyAlignment="1">
      <alignment horizontal="center" wrapText="1"/>
    </xf>
    <xf numFmtId="0" fontId="14" fillId="10" borderId="22" xfId="0" applyFont="1" applyFill="1" applyBorder="1" applyAlignment="1">
      <alignment horizontal="center"/>
    </xf>
    <xf numFmtId="0" fontId="14" fillId="10" borderId="23" xfId="0" applyFont="1" applyFill="1" applyBorder="1" applyAlignment="1">
      <alignment horizontal="center"/>
    </xf>
    <xf numFmtId="0" fontId="14" fillId="10" borderId="24" xfId="0" applyFont="1" applyFill="1" applyBorder="1" applyAlignment="1">
      <alignment horizontal="center"/>
    </xf>
  </cellXfs>
  <cellStyles count="1">
    <cellStyle name="Normal" xfId="0" builtinId="0"/>
  </cellStyles>
  <dxfs count="38">
    <dxf>
      <font>
        <color rgb="FF9C9C9C"/>
      </font>
      <fill>
        <patternFill patternType="none"/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</dxf>
    <dxf>
      <font>
        <color rgb="FF9C0006"/>
      </font>
    </dxf>
    <dxf>
      <font>
        <color theme="9" tint="-0.249977111117893"/>
      </font>
    </dxf>
    <dxf>
      <numFmt numFmtId="0" formatCode="General"/>
      <alignment horizontal="center"/>
    </dxf>
    <dxf>
      <numFmt numFmtId="167" formatCode="0.0000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00B050"/>
      </font>
    </dxf>
    <dxf>
      <font>
        <color rgb="FF9C0006"/>
      </font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[$R$-416]\ * #,##0.00_-;\-[$R$-416]\ * #,##0.00_-;_-[$R$-416]\ * &quot;-&quot;??_-;_-@_-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Solicitações por nível de risco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{"Solicitações"}</c:f>
              <c:strCache>
                <c:ptCount val="1"/>
                <c:pt idx="0">
                  <c:v>Solicitações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'Atividade Extra'!$A$9:$A$12</c:f>
              <c:strCache>
                <c:ptCount val="4"/>
                <c:pt idx="0">
                  <c:v>Alto</c:v>
                </c:pt>
                <c:pt idx="1">
                  <c:v>Médio</c:v>
                </c:pt>
                <c:pt idx="2">
                  <c:v>Baixo</c:v>
                </c:pt>
                <c:pt idx="3">
                  <c:v>Sem classificação</c:v>
                </c:pt>
              </c:strCache>
            </c:strRef>
          </c:cat>
          <c:val>
            <c:numRef>
              <c:f>'Atividade Extra'!$B$9:$B$12</c:f>
              <c:numCache>
                <c:formatCode>#,##0</c:formatCode>
                <c:ptCount val="4"/>
                <c:pt idx="0">
                  <c:v>181</c:v>
                </c:pt>
                <c:pt idx="1">
                  <c:v>126</c:v>
                </c:pt>
                <c:pt idx="2">
                  <c:v>87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9-4F8C-9F10-4D17E784E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7</xdr:row>
      <xdr:rowOff>0</xdr:rowOff>
    </xdr:from>
    <xdr:to>
      <xdr:col>8</xdr:col>
      <xdr:colOff>1628775</xdr:colOff>
      <xdr:row>20</xdr:row>
      <xdr:rowOff>104775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8BDEF79D-6864-49BB-BF8C-DDA6227A0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ividade_extra_risco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dos%20da%20an&#225;li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a análise"/>
      <sheetName val="Atividade Extra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a análise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73BD4-6F43-4A09-8BAB-A3954C806090}" name="Tabela1" displayName="Tabela1" ref="A2:E6" totalsRowShown="0" headerRowDxfId="37" headerRowBorderDxfId="35" tableBorderDxfId="36" totalsRowBorderDxfId="34">
  <autoFilter ref="A2:E6" xr:uid="{53673BD4-6F43-4A09-8BAB-A3954C806090}"/>
  <tableColumns count="5">
    <tableColumn id="1" xr3:uid="{531150C7-8B15-4352-ACC6-05391DAD029C}" name="ID_Produto" dataDxfId="33"/>
    <tableColumn id="2" xr3:uid="{F8281696-E208-42F4-B29D-CDF9C65F59B4}" name="Tipo_de_Cafe" dataDxfId="32"/>
    <tableColumn id="3" xr3:uid="{41E3F8C3-1282-46A6-BBD6-295FB1A8634A}" name="Tamanho" dataDxfId="31"/>
    <tableColumn id="4" xr3:uid="{DD9F20EC-634A-4DB5-BB52-B3AA76AC7FB4}" name="Valor_Unitario" dataDxfId="30"/>
    <tableColumn id="5" xr3:uid="{DB835E60-4704-4F43-9095-B1AC127363B7}" name="Quantidade" dataDxfId="2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4C0FA9-EA44-4C9E-BF11-82193BC04F5C}" name="Tabela14" displayName="Tabela14" ref="A2:D8" totalsRowShown="0" headerRowDxfId="28" headerRowBorderDxfId="26" tableBorderDxfId="27" totalsRowBorderDxfId="25">
  <autoFilter ref="A2:D8" xr:uid="{EE4C0FA9-EA44-4C9E-BF11-82193BC04F5C}"/>
  <tableColumns count="4">
    <tableColumn id="1" xr3:uid="{BBC6AEC1-3590-4CF7-AD1E-11F412F53387}" name="Funcionários" dataDxfId="24"/>
    <tableColumn id="2" xr3:uid="{5AC91DC5-BBCA-4DAE-A503-10994E24E009}" name="Produtos" dataDxfId="23"/>
    <tableColumn id="3" xr3:uid="{E6375D53-5F8B-4E37-A25C-D6D04CA2EA8D}" name="Vendas" dataDxfId="22"/>
    <tableColumn id="4" xr3:uid="{7ABBA75B-D72B-4CD4-8448-CDABB983F95A}" name="Resultado" dataDxfId="21">
      <calculatedColumnFormula>IF(C3&gt;5,"Ótimo",IF(C3&lt;5,"Péssimo",IF(C3=5,"Regular",)))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EF7918-D2A6-4940-9462-940C650FC4FE}" name="Tabela16" displayName="Tabela16" ref="A2:G7" totalsRowShown="0" headerRowDxfId="18" headerRowBorderDxfId="16" tableBorderDxfId="17" totalsRowBorderDxfId="15">
  <autoFilter ref="A2:G7" xr:uid="{31EF7918-D2A6-4940-9462-940C650FC4FE}"/>
  <tableColumns count="7">
    <tableColumn id="1" xr3:uid="{9CB01D38-23F7-452F-9B1E-29C7E975497E}" name="RA"/>
    <tableColumn id="2" xr3:uid="{6E346CA6-679B-4D85-969D-C33BEADB2A0C}" name="Nome de Aluno"/>
    <tableColumn id="3" xr3:uid="{E8CAE88D-8EE3-48AE-88C1-DBB63295C173}" name="Nota 1 Trimestre"/>
    <tableColumn id="4" xr3:uid="{39C2624C-03DC-45EA-B53D-734A44DBC035}" name="Nota 2 Trimestre"/>
    <tableColumn id="5" xr3:uid="{4267BA3D-0FF1-4AB1-89B2-74E3C4AE0F38}" name="Nota 3 Trimestre"/>
    <tableColumn id="6" xr3:uid="{1F555202-98EE-4EB3-9547-ED1AE6F6AE0B}" name="Média Final" dataDxfId="14">
      <calculatedColumnFormula>AVERAGE(C3:E3)</calculatedColumnFormula>
    </tableColumn>
    <tableColumn id="7" xr3:uid="{5BDC26BC-9746-4946-A490-9CF7A6643A47}" name="Resultado" dataDxfId="13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B7D868-A9B4-4AFB-BF78-6832E2E814D1}" name="Tabela17" displayName="Tabela17" ref="A2:F7" totalsRowShown="0" headerRowDxfId="10">
  <autoFilter ref="A2:F7" xr:uid="{6DB7D868-A9B4-4AFB-BF78-6832E2E814D1}"/>
  <tableColumns count="6">
    <tableColumn id="1" xr3:uid="{5919BD90-26FF-40FD-9A90-82D4914DEC0C}" name="Nome"/>
    <tableColumn id="2" xr3:uid="{4AF55E66-BC3A-4AD7-9AFD-AF97186ADE05}" name="Idade" dataDxfId="9"/>
    <tableColumn id="3" xr3:uid="{7942548A-DD6B-446F-88DA-3F473FAED9BE}" name="Ensino Médio" dataDxfId="8"/>
    <tableColumn id="4" xr3:uid="{D56281BC-313C-4A57-AC88-4636FBBCADDB}" name="Curso Técnico" dataDxfId="7"/>
    <tableColumn id="5" xr3:uid="{93BEE35B-0355-4238-8933-6311CEB43588}" name="Anos de experiência na área" dataDxfId="6"/>
    <tableColumn id="6" xr3:uid="{DD159E65-BE29-44E3-BC98-4DCA9C9A8666}" name="Situação" dataDxfId="5">
      <calculatedColumnFormula>IF(AND(Tabela17[[#This Row],[Idade]]&gt;=18,Tabela17[[#This Row],[Ensino Médio]]="Sim",Tabela17[[#This Row],[Curso Técnico]]="Sim",Tabela17[[#This Row],[Anos de experiência na área]]&gt;=3),"Apto","Não apto")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A8" sqref="A8"/>
    </sheetView>
  </sheetViews>
  <sheetFormatPr defaultRowHeight="15"/>
  <cols>
    <col min="1" max="1" width="15.7109375" customWidth="1"/>
    <col min="2" max="2" width="17.42578125" customWidth="1"/>
    <col min="3" max="3" width="13.85546875" customWidth="1"/>
    <col min="4" max="4" width="18.42578125" customWidth="1"/>
    <col min="5" max="5" width="16.7109375" customWidth="1"/>
  </cols>
  <sheetData>
    <row r="1" spans="1:5" ht="21">
      <c r="A1" s="43" t="s">
        <v>0</v>
      </c>
      <c r="B1" s="43"/>
      <c r="C1" s="43"/>
      <c r="D1" s="43"/>
      <c r="E1" s="43"/>
    </row>
    <row r="2" spans="1: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s="4">
        <v>2</v>
      </c>
      <c r="B3" s="5" t="s">
        <v>6</v>
      </c>
      <c r="C3" s="5" t="s">
        <v>7</v>
      </c>
      <c r="D3" s="6">
        <v>29.79</v>
      </c>
      <c r="E3" s="7">
        <v>20</v>
      </c>
    </row>
    <row r="4" spans="1:5">
      <c r="A4" s="4">
        <v>1</v>
      </c>
      <c r="B4" s="5" t="s">
        <v>6</v>
      </c>
      <c r="C4" s="5" t="s">
        <v>7</v>
      </c>
      <c r="D4" s="6">
        <v>3.89</v>
      </c>
      <c r="E4" s="7">
        <v>10</v>
      </c>
    </row>
    <row r="5" spans="1:5">
      <c r="A5" s="4">
        <v>3</v>
      </c>
      <c r="B5" s="5" t="s">
        <v>8</v>
      </c>
      <c r="C5" s="5" t="s">
        <v>9</v>
      </c>
      <c r="D5" s="6">
        <v>3.38</v>
      </c>
      <c r="E5" s="7">
        <v>30</v>
      </c>
    </row>
    <row r="6" spans="1:5">
      <c r="A6" s="8">
        <v>4</v>
      </c>
      <c r="B6" s="9" t="s">
        <v>10</v>
      </c>
      <c r="C6" s="9" t="s">
        <v>11</v>
      </c>
      <c r="D6" s="10">
        <v>13.43</v>
      </c>
      <c r="E6" s="11">
        <v>40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4C8E-CE39-4A22-80D0-FD4888EC4D27}">
  <dimension ref="A1:D8"/>
  <sheetViews>
    <sheetView workbookViewId="0">
      <selection activeCell="E5" sqref="E5"/>
    </sheetView>
  </sheetViews>
  <sheetFormatPr defaultRowHeight="15"/>
  <cols>
    <col min="1" max="1" width="19" customWidth="1"/>
    <col min="2" max="2" width="15.7109375" customWidth="1"/>
    <col min="3" max="3" width="14" customWidth="1"/>
    <col min="4" max="4" width="15" customWidth="1"/>
  </cols>
  <sheetData>
    <row r="1" spans="1:4">
      <c r="A1" s="44" t="s">
        <v>12</v>
      </c>
      <c r="B1" s="44"/>
      <c r="C1" s="44"/>
      <c r="D1" s="44"/>
    </row>
    <row r="2" spans="1:4">
      <c r="A2" s="12" t="s">
        <v>13</v>
      </c>
      <c r="B2" s="13" t="s">
        <v>14</v>
      </c>
      <c r="C2" s="13" t="s">
        <v>15</v>
      </c>
      <c r="D2" s="14" t="s">
        <v>16</v>
      </c>
    </row>
    <row r="3" spans="1:4">
      <c r="A3" s="15" t="s">
        <v>17</v>
      </c>
      <c r="B3" s="16" t="s">
        <v>18</v>
      </c>
      <c r="C3" s="16">
        <v>8</v>
      </c>
      <c r="D3" s="17" t="str">
        <f>IF(C3&gt;5,"Ótimo",IF(C3&lt;5,"Péssimo",IF(C3=5,"Regular",)))</f>
        <v>Ótimo</v>
      </c>
    </row>
    <row r="4" spans="1:4">
      <c r="A4" s="15" t="s">
        <v>19</v>
      </c>
      <c r="B4" s="16" t="s">
        <v>20</v>
      </c>
      <c r="C4" s="16">
        <v>5</v>
      </c>
      <c r="D4" s="17" t="str">
        <f t="shared" ref="D4:D8" si="0">IF(C4&gt;5,"Ótimo",IF(C4&lt;5,"Péssimo",IF(C4=5,"Regular",)))</f>
        <v>Regular</v>
      </c>
    </row>
    <row r="5" spans="1:4">
      <c r="A5" s="15" t="s">
        <v>21</v>
      </c>
      <c r="B5" s="16" t="s">
        <v>22</v>
      </c>
      <c r="C5" s="16">
        <v>9</v>
      </c>
      <c r="D5" s="17" t="str">
        <f t="shared" si="0"/>
        <v>Ótimo</v>
      </c>
    </row>
    <row r="6" spans="1:4">
      <c r="A6" s="15" t="s">
        <v>23</v>
      </c>
      <c r="B6" s="16" t="s">
        <v>24</v>
      </c>
      <c r="C6" s="16">
        <v>4</v>
      </c>
      <c r="D6" s="17" t="str">
        <f t="shared" si="0"/>
        <v>Péssimo</v>
      </c>
    </row>
    <row r="7" spans="1:4">
      <c r="A7" s="15" t="s">
        <v>25</v>
      </c>
      <c r="B7" s="16" t="s">
        <v>26</v>
      </c>
      <c r="C7" s="16">
        <v>6</v>
      </c>
      <c r="D7" s="17" t="str">
        <f t="shared" si="0"/>
        <v>Ótimo</v>
      </c>
    </row>
    <row r="8" spans="1:4">
      <c r="A8" s="18" t="s">
        <v>27</v>
      </c>
      <c r="B8" s="19" t="s">
        <v>28</v>
      </c>
      <c r="C8" s="19">
        <v>3</v>
      </c>
      <c r="D8" s="17" t="str">
        <f t="shared" si="0"/>
        <v>Péssimo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AFF8-B6FE-417F-982B-46BA6759247C}">
  <dimension ref="A1:G8"/>
  <sheetViews>
    <sheetView workbookViewId="0">
      <selection activeCell="C8" sqref="C8"/>
    </sheetView>
  </sheetViews>
  <sheetFormatPr defaultRowHeight="15"/>
  <cols>
    <col min="1" max="1" width="12.85546875" customWidth="1"/>
    <col min="2" max="2" width="25.140625" customWidth="1"/>
    <col min="3" max="3" width="23.42578125" customWidth="1"/>
    <col min="4" max="4" width="23.85546875" customWidth="1"/>
    <col min="5" max="5" width="22.7109375" customWidth="1"/>
    <col min="6" max="6" width="19.140625" customWidth="1"/>
    <col min="7" max="7" width="20.7109375" customWidth="1"/>
  </cols>
  <sheetData>
    <row r="1" spans="1:7" ht="21">
      <c r="A1" s="45" t="s">
        <v>29</v>
      </c>
      <c r="B1" s="46"/>
      <c r="C1" s="46"/>
      <c r="D1" s="46"/>
      <c r="E1" s="46"/>
      <c r="F1" s="46"/>
      <c r="G1" s="47"/>
    </row>
    <row r="2" spans="1:7">
      <c r="A2" s="20" t="s">
        <v>30</v>
      </c>
      <c r="B2" s="21" t="s">
        <v>31</v>
      </c>
      <c r="C2" s="21" t="s">
        <v>32</v>
      </c>
      <c r="D2" s="21" t="s">
        <v>33</v>
      </c>
      <c r="E2" s="21" t="s">
        <v>34</v>
      </c>
      <c r="F2" s="21" t="s">
        <v>35</v>
      </c>
      <c r="G2" s="22" t="s">
        <v>16</v>
      </c>
    </row>
    <row r="3" spans="1:7">
      <c r="A3" s="23">
        <v>2001</v>
      </c>
      <c r="B3" s="24" t="s">
        <v>36</v>
      </c>
      <c r="C3" s="24">
        <v>5</v>
      </c>
      <c r="D3" s="24">
        <v>6</v>
      </c>
      <c r="E3" s="24">
        <v>8</v>
      </c>
      <c r="F3" s="28">
        <f>AVERAGE(C3:E3)</f>
        <v>6.333333333333333</v>
      </c>
      <c r="G3" s="29" t="str">
        <f>IF(F3&gt;=6,"Aprovado","Reprovado")</f>
        <v>Aprovado</v>
      </c>
    </row>
    <row r="4" spans="1:7">
      <c r="A4" s="25">
        <v>2002</v>
      </c>
      <c r="B4" t="s">
        <v>37</v>
      </c>
      <c r="C4">
        <v>10</v>
      </c>
      <c r="D4">
        <v>7</v>
      </c>
      <c r="E4">
        <v>8</v>
      </c>
      <c r="F4" s="28">
        <f t="shared" ref="F4:F7" si="0">AVERAGE(C4:E4)</f>
        <v>8.3333333333333339</v>
      </c>
      <c r="G4" s="30" t="str">
        <f>IF(F3&gt;=6,"Aprovado","Reprovado")</f>
        <v>Aprovado</v>
      </c>
    </row>
    <row r="5" spans="1:7">
      <c r="A5" s="25">
        <v>2003</v>
      </c>
      <c r="B5" t="s">
        <v>38</v>
      </c>
      <c r="C5">
        <v>5</v>
      </c>
      <c r="D5">
        <v>2</v>
      </c>
      <c r="E5">
        <v>8</v>
      </c>
      <c r="F5" s="28">
        <f t="shared" si="0"/>
        <v>5</v>
      </c>
      <c r="G5" s="29" t="str">
        <f t="shared" ref="G5" si="1">IF(F5&gt;=6,"Aprovado","Reprovado")</f>
        <v>Reprovado</v>
      </c>
    </row>
    <row r="6" spans="1:7">
      <c r="A6" s="25">
        <v>2004</v>
      </c>
      <c r="B6" t="s">
        <v>39</v>
      </c>
      <c r="C6">
        <v>2</v>
      </c>
      <c r="D6">
        <v>1</v>
      </c>
      <c r="E6">
        <v>3</v>
      </c>
      <c r="F6" s="28">
        <f t="shared" si="0"/>
        <v>2</v>
      </c>
      <c r="G6" s="30" t="str">
        <f t="shared" ref="G6" si="2">IF(F5&gt;=6,"Aprovado","Reprovado")</f>
        <v>Reprovado</v>
      </c>
    </row>
    <row r="7" spans="1:7">
      <c r="A7" s="26">
        <v>2005</v>
      </c>
      <c r="B7" s="27" t="s">
        <v>40</v>
      </c>
      <c r="C7" s="27">
        <v>4</v>
      </c>
      <c r="D7" s="27">
        <v>7</v>
      </c>
      <c r="E7" s="27">
        <v>8</v>
      </c>
      <c r="F7" s="28">
        <f t="shared" si="0"/>
        <v>6.333333333333333</v>
      </c>
      <c r="G7" s="29" t="str">
        <f t="shared" ref="G7" si="3">IF(F7&gt;=6,"Aprovado","Reprovado")</f>
        <v>Aprovado</v>
      </c>
    </row>
    <row r="8" spans="1:7">
      <c r="C8" s="31"/>
    </row>
  </sheetData>
  <mergeCells count="1">
    <mergeCell ref="A1:G1"/>
  </mergeCells>
  <conditionalFormatting sqref="C3:F7">
    <cfRule type="cellIs" dxfId="20" priority="2" operator="lessThan">
      <formula>6</formula>
    </cfRule>
  </conditionalFormatting>
  <conditionalFormatting sqref="C3:F7">
    <cfRule type="cellIs" dxfId="19" priority="1" operator="greaterThanOrEqual">
      <formula>6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70EB-EAC9-4C74-BB0C-ECAC1AEBF4D5}">
  <dimension ref="A1:F15"/>
  <sheetViews>
    <sheetView workbookViewId="0">
      <selection activeCell="E14" sqref="E14"/>
    </sheetView>
  </sheetViews>
  <sheetFormatPr defaultRowHeight="15"/>
  <cols>
    <col min="1" max="1" width="20.28515625" bestFit="1" customWidth="1"/>
    <col min="2" max="2" width="12.7109375" customWidth="1"/>
    <col min="3" max="3" width="19.42578125" customWidth="1"/>
    <col min="4" max="4" width="18.42578125" customWidth="1"/>
    <col min="5" max="5" width="34.5703125" customWidth="1"/>
    <col min="6" max="6" width="16.28515625" customWidth="1"/>
  </cols>
  <sheetData>
    <row r="1" spans="1:6" ht="18.75">
      <c r="A1" s="49" t="s">
        <v>41</v>
      </c>
      <c r="B1" s="49"/>
      <c r="C1" s="49"/>
      <c r="D1" s="49"/>
      <c r="E1" s="49"/>
      <c r="F1" s="49"/>
    </row>
    <row r="2" spans="1:6">
      <c r="A2" s="33" t="s">
        <v>42</v>
      </c>
      <c r="B2" s="33" t="s">
        <v>43</v>
      </c>
      <c r="C2" s="33" t="s">
        <v>44</v>
      </c>
      <c r="D2" s="33" t="s">
        <v>45</v>
      </c>
      <c r="E2" s="33" t="s">
        <v>46</v>
      </c>
      <c r="F2" s="33" t="s">
        <v>47</v>
      </c>
    </row>
    <row r="3" spans="1:6">
      <c r="A3" t="s">
        <v>48</v>
      </c>
      <c r="B3" s="32">
        <v>17</v>
      </c>
      <c r="C3" s="32" t="s">
        <v>49</v>
      </c>
      <c r="D3" s="32" t="s">
        <v>50</v>
      </c>
      <c r="E3" s="32">
        <v>1</v>
      </c>
      <c r="F3" t="str">
        <f>IF(AND(Tabela17[[#This Row],[Idade]]&gt;=18,Tabela17[[#This Row],[Ensino Médio]]="Sim",Tabela17[[#This Row],[Curso Técnico]]="Sim",Tabela17[[#This Row],[Anos de experiência na área]]&gt;=3),"Apto","Não apto")</f>
        <v>Não apto</v>
      </c>
    </row>
    <row r="4" spans="1:6">
      <c r="A4" t="s">
        <v>51</v>
      </c>
      <c r="B4" s="32">
        <v>24</v>
      </c>
      <c r="C4" s="32" t="s">
        <v>50</v>
      </c>
      <c r="D4" s="32" t="s">
        <v>50</v>
      </c>
      <c r="E4" s="32">
        <v>3</v>
      </c>
      <c r="F4" t="str">
        <f>IF(AND(Tabela17[[#This Row],[Idade]]&gt;=18,Tabela17[[#This Row],[Ensino Médio]]="Sim",Tabela17[[#This Row],[Curso Técnico]]="Sim",Tabela17[[#This Row],[Anos de experiência na área]]&gt;=3),"Apto","Não apto")</f>
        <v>Apto</v>
      </c>
    </row>
    <row r="5" spans="1:6">
      <c r="A5" t="s">
        <v>52</v>
      </c>
      <c r="B5" s="32">
        <v>28</v>
      </c>
      <c r="C5" s="32" t="s">
        <v>50</v>
      </c>
      <c r="D5" s="32" t="s">
        <v>50</v>
      </c>
      <c r="E5" s="32">
        <v>4</v>
      </c>
      <c r="F5" t="str">
        <f>IF(AND(Tabela17[[#This Row],[Idade]]&gt;=18,Tabela17[[#This Row],[Ensino Médio]]="Sim",Tabela17[[#This Row],[Curso Técnico]]="Sim",Tabela17[[#This Row],[Anos de experiência na área]]&gt;=3),"Apto","Não apto")</f>
        <v>Apto</v>
      </c>
    </row>
    <row r="6" spans="1:6">
      <c r="A6" t="s">
        <v>53</v>
      </c>
      <c r="B6" s="32">
        <v>18</v>
      </c>
      <c r="C6" s="32" t="s">
        <v>50</v>
      </c>
      <c r="D6" s="32" t="s">
        <v>49</v>
      </c>
      <c r="E6" s="32">
        <v>1</v>
      </c>
      <c r="F6" t="str">
        <f>IF(AND(Tabela17[[#This Row],[Idade]]&gt;=18,Tabela17[[#This Row],[Ensino Médio]]="Sim",Tabela17[[#This Row],[Curso Técnico]]="Sim",Tabela17[[#This Row],[Anos de experiência na área]]&gt;=3),"Apto","Não apto")</f>
        <v>Não apto</v>
      </c>
    </row>
    <row r="7" spans="1:6">
      <c r="A7" t="s">
        <v>54</v>
      </c>
      <c r="B7" s="32">
        <v>22</v>
      </c>
      <c r="C7" s="32" t="s">
        <v>50</v>
      </c>
      <c r="D7" s="32" t="s">
        <v>50</v>
      </c>
      <c r="E7" s="32">
        <v>2</v>
      </c>
      <c r="F7" t="str">
        <f>IF(AND(Tabela17[[#This Row],[Idade]]&gt;=18,Tabela17[[#This Row],[Ensino Médio]]="Sim",Tabela17[[#This Row],[Curso Técnico]]="Sim",Tabela17[[#This Row],[Anos de experiência na área]]&gt;=3),"Apto","Não apto")</f>
        <v>Não apto</v>
      </c>
    </row>
    <row r="11" spans="1:6">
      <c r="A11" s="50" t="s">
        <v>55</v>
      </c>
      <c r="B11" s="50"/>
      <c r="C11" s="50"/>
    </row>
    <row r="12" spans="1:6">
      <c r="A12" s="51" t="s">
        <v>56</v>
      </c>
      <c r="B12" s="51"/>
      <c r="C12" s="51"/>
    </row>
    <row r="13" spans="1:6">
      <c r="A13" s="48" t="s">
        <v>57</v>
      </c>
      <c r="B13" s="48"/>
      <c r="C13" s="48"/>
    </row>
    <row r="14" spans="1:6">
      <c r="A14" s="51" t="s">
        <v>58</v>
      </c>
      <c r="B14" s="51"/>
      <c r="C14" s="51"/>
    </row>
    <row r="15" spans="1:6">
      <c r="A15" s="48" t="s">
        <v>59</v>
      </c>
      <c r="B15" s="48"/>
      <c r="C15" s="48"/>
    </row>
  </sheetData>
  <mergeCells count="6">
    <mergeCell ref="A15:C15"/>
    <mergeCell ref="A1:F1"/>
    <mergeCell ref="A11:C11"/>
    <mergeCell ref="A12:C12"/>
    <mergeCell ref="A13:C13"/>
    <mergeCell ref="A14:C14"/>
  </mergeCells>
  <conditionalFormatting sqref="F3:F7">
    <cfRule type="beginsWith" dxfId="12" priority="2" operator="beginsWith" text="Apto">
      <formula>LEFT(F3,LEN("Apto"))="Apto"</formula>
    </cfRule>
  </conditionalFormatting>
  <conditionalFormatting sqref="F3:F7">
    <cfRule type="containsText" dxfId="11" priority="1" operator="containsText" text="Não Apto">
      <formula>NOT(ISERROR(SEARCH("Não Apto",F3)))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96FB-4AE5-45EA-9066-F5460EE0E674}">
  <dimension ref="A1:Q1000"/>
  <sheetViews>
    <sheetView workbookViewId="0">
      <pane xSplit="1" ySplit="1" topLeftCell="B74" activePane="bottomRight" state="frozen"/>
      <selection pane="bottomRight" activeCell="J67" sqref="J67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14" customWidth="1"/>
    <col min="2" max="2" width="24" customWidth="1"/>
    <col min="3" max="3" width="17" customWidth="1"/>
    <col min="4" max="4" width="20.140625" customWidth="1"/>
    <col min="5" max="5" width="21.85546875" customWidth="1"/>
    <col min="6" max="6" width="13" customWidth="1"/>
    <col min="7" max="7" width="22" customWidth="1"/>
    <col min="8" max="8" width="20" customWidth="1"/>
    <col min="9" max="9" width="18.7109375" customWidth="1"/>
    <col min="10" max="10" width="20" customWidth="1"/>
    <col min="11" max="11" width="23.28515625" customWidth="1"/>
    <col min="12" max="12" width="22.85546875" customWidth="1"/>
    <col min="13" max="13" width="20.140625" customWidth="1"/>
    <col min="14" max="14" width="17.42578125" customWidth="1"/>
    <col min="15" max="15" width="19.28515625" customWidth="1"/>
    <col min="16" max="16" width="22.140625" customWidth="1"/>
    <col min="17" max="17" width="22.85546875" customWidth="1"/>
    <col min="18" max="18" width="15" bestFit="1" customWidth="1"/>
    <col min="19" max="24" width="8.7109375" customWidth="1"/>
  </cols>
  <sheetData>
    <row r="1" spans="1:17" ht="30" customHeight="1">
      <c r="A1" s="34" t="s">
        <v>60</v>
      </c>
      <c r="B1" s="34" t="s">
        <v>61</v>
      </c>
      <c r="C1" s="34" t="s">
        <v>62</v>
      </c>
      <c r="D1" s="34" t="s">
        <v>63</v>
      </c>
      <c r="E1" s="34" t="s">
        <v>64</v>
      </c>
      <c r="F1" s="34" t="s">
        <v>65</v>
      </c>
      <c r="G1" s="34" t="s">
        <v>66</v>
      </c>
      <c r="H1" s="34" t="s">
        <v>67</v>
      </c>
      <c r="I1" s="34" t="s">
        <v>68</v>
      </c>
      <c r="J1" s="34" t="s">
        <v>69</v>
      </c>
      <c r="K1" s="34" t="s">
        <v>70</v>
      </c>
      <c r="L1" s="34" t="s">
        <v>71</v>
      </c>
      <c r="M1" s="34" t="s">
        <v>72</v>
      </c>
      <c r="N1" s="34" t="s">
        <v>73</v>
      </c>
      <c r="O1" s="34" t="s">
        <v>74</v>
      </c>
      <c r="P1" s="34" t="s">
        <v>75</v>
      </c>
      <c r="Q1" s="34" t="s">
        <v>76</v>
      </c>
    </row>
    <row r="2" spans="1:17">
      <c r="A2" s="35" t="s">
        <v>77</v>
      </c>
      <c r="B2" s="35" t="s">
        <v>78</v>
      </c>
      <c r="C2" s="35" t="s">
        <v>79</v>
      </c>
      <c r="D2" s="35" t="str">
        <f>TEXT(C2,"000\.000\.000\-00")</f>
        <v>000.000.336-00</v>
      </c>
      <c r="E2" s="36">
        <v>34347</v>
      </c>
      <c r="F2" s="37">
        <v>32</v>
      </c>
      <c r="G2" s="35" t="s">
        <v>80</v>
      </c>
      <c r="H2" s="35" t="s">
        <v>81</v>
      </c>
      <c r="I2" s="38">
        <v>15600</v>
      </c>
      <c r="J2" s="38">
        <v>0</v>
      </c>
      <c r="K2" s="35" t="s">
        <v>50</v>
      </c>
      <c r="L2" s="37">
        <v>34</v>
      </c>
      <c r="M2" s="38">
        <v>16000</v>
      </c>
      <c r="N2" s="35" t="str">
        <f t="shared" ref="N2:N401" si="0">IF(L2="","",IF(L2&lt;=10,"Baixo",IF(L2&lt;=25,"Médio","Alto")))</f>
        <v>Alto</v>
      </c>
      <c r="O2" s="35" t="str">
        <f t="shared" ref="O2:O401" si="1">IF(AND(N2="Alto",K2="Sim"),"Negada","Passa")</f>
        <v>Negada</v>
      </c>
      <c r="P2" s="35" t="str">
        <f t="shared" ref="P2:P401" si="2">IF(AND(J2&lt;&gt;"",J2&gt;50000,K2="Sim"),"Negada","Passa")</f>
        <v>Passa</v>
      </c>
      <c r="Q2" s="38">
        <f>IF(AND(O2="Negada",P2="Negada"),0,IF(A2="Ativo",M2*0.08,0))</f>
        <v>1280</v>
      </c>
    </row>
    <row r="3" spans="1:17">
      <c r="A3" s="35" t="s">
        <v>82</v>
      </c>
      <c r="B3" s="35" t="s">
        <v>83</v>
      </c>
      <c r="C3" s="35">
        <v>36100</v>
      </c>
      <c r="D3" s="35" t="str">
        <f t="shared" ref="D3:D66" si="3">TEXT(C3,"000\.000\.000\-00")</f>
        <v>000.000.361-00</v>
      </c>
      <c r="E3" s="36">
        <v>37313</v>
      </c>
      <c r="F3" s="37">
        <v>24</v>
      </c>
      <c r="G3" s="35" t="s">
        <v>84</v>
      </c>
      <c r="H3" s="35" t="s">
        <v>85</v>
      </c>
      <c r="I3" s="38">
        <v>11000</v>
      </c>
      <c r="J3" s="38">
        <v>76500</v>
      </c>
      <c r="K3" s="35" t="s">
        <v>50</v>
      </c>
      <c r="L3" s="37">
        <v>33</v>
      </c>
      <c r="M3" s="38">
        <v>26000</v>
      </c>
      <c r="N3" s="35" t="str">
        <f t="shared" si="0"/>
        <v>Alto</v>
      </c>
      <c r="O3" s="35" t="str">
        <f t="shared" si="1"/>
        <v>Negada</v>
      </c>
      <c r="P3" s="35" t="str">
        <f>IF(AND(J3&lt;&gt;"",J3&gt;50000,K3="Sim"),"Negada","Passa")</f>
        <v>Negada</v>
      </c>
      <c r="Q3" s="38">
        <f>IF(AND(O3="Negada",P3="Negada"),0,IF(A3="Ativo",M3*0.08,0))</f>
        <v>0</v>
      </c>
    </row>
    <row r="4" spans="1:17">
      <c r="A4" s="35" t="s">
        <v>77</v>
      </c>
      <c r="B4" s="35" t="s">
        <v>86</v>
      </c>
      <c r="C4" s="35" t="s">
        <v>87</v>
      </c>
      <c r="D4" s="35" t="str">
        <f t="shared" si="3"/>
        <v>000.000.363-00</v>
      </c>
      <c r="E4" s="36">
        <v>34144</v>
      </c>
      <c r="F4" s="37">
        <v>33</v>
      </c>
      <c r="G4" s="35" t="s">
        <v>88</v>
      </c>
      <c r="H4" s="35" t="s">
        <v>89</v>
      </c>
      <c r="I4" s="38">
        <v>21500</v>
      </c>
      <c r="J4" s="38"/>
      <c r="K4" s="35" t="s">
        <v>49</v>
      </c>
      <c r="L4" s="37">
        <v>22</v>
      </c>
      <c r="M4" s="38">
        <v>51500</v>
      </c>
      <c r="N4" s="35" t="str">
        <f t="shared" si="0"/>
        <v>Médio</v>
      </c>
      <c r="O4" s="35" t="str">
        <f t="shared" si="1"/>
        <v>Passa</v>
      </c>
      <c r="P4" s="35" t="str">
        <f t="shared" si="2"/>
        <v>Passa</v>
      </c>
      <c r="Q4" s="38">
        <f>IF(AND(O4="Negada",P4="Negada"),0,IF(A4="Ativo",M4*0.08,0))</f>
        <v>4120</v>
      </c>
    </row>
    <row r="5" spans="1:17">
      <c r="A5" s="35" t="s">
        <v>77</v>
      </c>
      <c r="B5" s="35" t="s">
        <v>90</v>
      </c>
      <c r="C5" s="35" t="s">
        <v>91</v>
      </c>
      <c r="D5" s="35" t="str">
        <f t="shared" si="3"/>
        <v>000.000.210-00</v>
      </c>
      <c r="E5" s="36">
        <v>23156</v>
      </c>
      <c r="F5" s="37">
        <v>63</v>
      </c>
      <c r="G5" s="35" t="s">
        <v>92</v>
      </c>
      <c r="H5" s="35" t="s">
        <v>93</v>
      </c>
      <c r="I5" s="38">
        <v>10400</v>
      </c>
      <c r="J5" s="38">
        <v>8500</v>
      </c>
      <c r="K5" s="35" t="s">
        <v>49</v>
      </c>
      <c r="L5" s="37">
        <v>39</v>
      </c>
      <c r="M5" s="38">
        <v>36500</v>
      </c>
      <c r="N5" s="35" t="str">
        <f>IF(L5="","",IF(L5&lt;=10,"Baixo",IF(L5&lt;=25,"Médio","Alto")))</f>
        <v>Alto</v>
      </c>
      <c r="O5" s="35" t="str">
        <f t="shared" si="1"/>
        <v>Passa</v>
      </c>
      <c r="P5" s="35" t="str">
        <f t="shared" si="2"/>
        <v>Passa</v>
      </c>
      <c r="Q5" s="38">
        <f>IF(AND(O5="Negada",P5="Negada"),0,IF(A5="Ativo",M5*0.08,0))</f>
        <v>2920</v>
      </c>
    </row>
    <row r="6" spans="1:17">
      <c r="A6" s="35" t="s">
        <v>77</v>
      </c>
      <c r="B6" s="35" t="s">
        <v>94</v>
      </c>
      <c r="C6" s="35" t="s">
        <v>95</v>
      </c>
      <c r="D6" s="35" t="str">
        <f t="shared" si="3"/>
        <v>000.000.321-00</v>
      </c>
      <c r="E6" s="36">
        <v>34299</v>
      </c>
      <c r="F6" s="37">
        <v>32</v>
      </c>
      <c r="G6" s="35" t="s">
        <v>80</v>
      </c>
      <c r="H6" s="35" t="s">
        <v>81</v>
      </c>
      <c r="I6" s="38">
        <v>30000</v>
      </c>
      <c r="J6" s="38"/>
      <c r="K6" s="35" t="s">
        <v>49</v>
      </c>
      <c r="L6" s="37">
        <v>5</v>
      </c>
      <c r="M6" s="38">
        <v>65000</v>
      </c>
      <c r="N6" s="35" t="str">
        <f t="shared" si="0"/>
        <v>Baixo</v>
      </c>
      <c r="O6" s="35" t="str">
        <f t="shared" si="1"/>
        <v>Passa</v>
      </c>
      <c r="P6" s="35" t="str">
        <f t="shared" si="2"/>
        <v>Passa</v>
      </c>
      <c r="Q6" s="38">
        <f>IF(AND(O6="Negada",P6="Negada"),0,IF(A6="Ativo",M6*0.08,0))</f>
        <v>5200</v>
      </c>
    </row>
    <row r="7" spans="1:17">
      <c r="A7" s="35" t="s">
        <v>77</v>
      </c>
      <c r="B7" s="35" t="s">
        <v>96</v>
      </c>
      <c r="C7" s="35" t="s">
        <v>97</v>
      </c>
      <c r="D7" s="35" t="str">
        <f t="shared" si="3"/>
        <v>000.000.191-00</v>
      </c>
      <c r="E7" s="36">
        <v>28647</v>
      </c>
      <c r="F7" s="37">
        <v>48</v>
      </c>
      <c r="G7" s="35" t="s">
        <v>98</v>
      </c>
      <c r="H7" s="35" t="s">
        <v>99</v>
      </c>
      <c r="I7" s="38">
        <v>13200</v>
      </c>
      <c r="J7" s="38">
        <v>3500</v>
      </c>
      <c r="K7" s="35" t="s">
        <v>49</v>
      </c>
      <c r="L7" s="37">
        <v>1</v>
      </c>
      <c r="M7" s="38">
        <v>32500</v>
      </c>
      <c r="N7" s="35" t="str">
        <f t="shared" si="0"/>
        <v>Baixo</v>
      </c>
      <c r="O7" s="35" t="str">
        <f t="shared" si="1"/>
        <v>Passa</v>
      </c>
      <c r="P7" s="35" t="str">
        <f t="shared" si="2"/>
        <v>Passa</v>
      </c>
      <c r="Q7" s="38">
        <f>IF(AND(O7="Negada",P7="Negada"),0,IF(A7="Ativo",M7*0.08,0))</f>
        <v>2600</v>
      </c>
    </row>
    <row r="8" spans="1:17">
      <c r="A8" s="35" t="s">
        <v>77</v>
      </c>
      <c r="B8" s="35" t="s">
        <v>100</v>
      </c>
      <c r="C8" s="35" t="s">
        <v>101</v>
      </c>
      <c r="D8" s="35" t="str">
        <f t="shared" si="3"/>
        <v>000.000.076-00</v>
      </c>
      <c r="E8" s="36">
        <v>35830</v>
      </c>
      <c r="F8" s="37">
        <v>28</v>
      </c>
      <c r="G8" s="35" t="s">
        <v>98</v>
      </c>
      <c r="H8" s="35" t="s">
        <v>99</v>
      </c>
      <c r="I8" s="38">
        <v>8600</v>
      </c>
      <c r="J8" s="38">
        <v>19000</v>
      </c>
      <c r="K8" s="35" t="s">
        <v>50</v>
      </c>
      <c r="L8" s="37">
        <v>4</v>
      </c>
      <c r="M8" s="38">
        <v>32500</v>
      </c>
      <c r="N8" s="35" t="str">
        <f t="shared" si="0"/>
        <v>Baixo</v>
      </c>
      <c r="O8" s="35" t="str">
        <f t="shared" si="1"/>
        <v>Passa</v>
      </c>
      <c r="P8" s="35" t="str">
        <f t="shared" si="2"/>
        <v>Passa</v>
      </c>
      <c r="Q8" s="38">
        <f>IF(AND(O8="Negada",P8="Negada"),0,IF(A8="Ativo",M8*0.08,0))</f>
        <v>2600</v>
      </c>
    </row>
    <row r="9" spans="1:17">
      <c r="A9" s="35" t="s">
        <v>82</v>
      </c>
      <c r="B9" s="35" t="s">
        <v>102</v>
      </c>
      <c r="C9" s="35" t="s">
        <v>103</v>
      </c>
      <c r="D9" s="35" t="str">
        <f t="shared" si="3"/>
        <v>000.000.059-00</v>
      </c>
      <c r="E9" s="36">
        <v>30810</v>
      </c>
      <c r="F9" s="37">
        <v>42</v>
      </c>
      <c r="G9" s="35" t="s">
        <v>92</v>
      </c>
      <c r="H9" s="35" t="s">
        <v>93</v>
      </c>
      <c r="I9" s="38">
        <v>18200</v>
      </c>
      <c r="J9" s="38">
        <v>31000</v>
      </c>
      <c r="K9" s="35" t="s">
        <v>49</v>
      </c>
      <c r="L9" s="37">
        <v>19</v>
      </c>
      <c r="M9" s="38">
        <v>63500</v>
      </c>
      <c r="N9" s="35" t="str">
        <f>IF(L9="","",IF(L9&lt;=10,"Baixo",IF(L9&lt;=25,"Médio","Alto")))</f>
        <v>Médio</v>
      </c>
      <c r="O9" s="35" t="str">
        <f>IF(AND(N9="Alto",K9="Sim"),"Negada","Passa")</f>
        <v>Passa</v>
      </c>
      <c r="P9" s="35" t="str">
        <f>IF(AND(J9&lt;&gt;"",J9&gt;50000,K9="Sim"),"Negada","Passa")</f>
        <v>Passa</v>
      </c>
      <c r="Q9" s="38">
        <f>IF(AND(O9="Negada",P9="Negada"),0,IF(A9="Ativo",M9*0.08,0))</f>
        <v>0</v>
      </c>
    </row>
    <row r="10" spans="1:17">
      <c r="A10" s="35" t="s">
        <v>77</v>
      </c>
      <c r="B10" s="35" t="s">
        <v>104</v>
      </c>
      <c r="C10" s="35" t="s">
        <v>105</v>
      </c>
      <c r="D10" s="35" t="str">
        <f t="shared" si="3"/>
        <v>000.000.274-00</v>
      </c>
      <c r="E10" s="36">
        <v>33624</v>
      </c>
      <c r="F10" s="37">
        <v>34</v>
      </c>
      <c r="G10" s="35" t="s">
        <v>92</v>
      </c>
      <c r="H10" s="35" t="s">
        <v>93</v>
      </c>
      <c r="I10" s="38">
        <v>8000</v>
      </c>
      <c r="J10" s="38">
        <v>14500</v>
      </c>
      <c r="K10" s="35" t="s">
        <v>50</v>
      </c>
      <c r="L10" s="37">
        <v>9</v>
      </c>
      <c r="M10" s="38">
        <v>17500</v>
      </c>
      <c r="N10" s="35" t="str">
        <f t="shared" si="0"/>
        <v>Baixo</v>
      </c>
      <c r="O10" s="35" t="str">
        <f t="shared" si="1"/>
        <v>Passa</v>
      </c>
      <c r="P10" s="35" t="str">
        <f t="shared" si="2"/>
        <v>Passa</v>
      </c>
      <c r="Q10" s="38">
        <f>IF(AND(O10="Negada",P10="Negada"),0,IF(A10="Ativo",M10*0.08,0))</f>
        <v>1400</v>
      </c>
    </row>
    <row r="11" spans="1:17">
      <c r="A11" s="35" t="s">
        <v>82</v>
      </c>
      <c r="B11" s="35" t="s">
        <v>106</v>
      </c>
      <c r="C11" s="35" t="s">
        <v>107</v>
      </c>
      <c r="D11" s="35" t="str">
        <f t="shared" si="3"/>
        <v>000.000.024-00</v>
      </c>
      <c r="E11" s="36">
        <v>23667</v>
      </c>
      <c r="F11" s="37">
        <v>61</v>
      </c>
      <c r="G11" s="35" t="s">
        <v>108</v>
      </c>
      <c r="H11" s="35" t="s">
        <v>109</v>
      </c>
      <c r="I11" s="38">
        <v>23000</v>
      </c>
      <c r="J11" s="38">
        <v>44500</v>
      </c>
      <c r="K11" s="35" t="s">
        <v>50</v>
      </c>
      <c r="L11" s="37">
        <v>32</v>
      </c>
      <c r="M11" s="38">
        <v>2000</v>
      </c>
      <c r="N11" s="35" t="str">
        <f t="shared" si="0"/>
        <v>Alto</v>
      </c>
      <c r="O11" s="35" t="str">
        <f t="shared" si="1"/>
        <v>Negada</v>
      </c>
      <c r="P11" s="35" t="str">
        <f t="shared" si="2"/>
        <v>Passa</v>
      </c>
      <c r="Q11" s="38">
        <f>IF(AND(O11="Negada",P11="Negada"),0,IF(A11="Ativo",M11*0.08,0))</f>
        <v>0</v>
      </c>
    </row>
    <row r="12" spans="1:17">
      <c r="A12" s="35" t="s">
        <v>77</v>
      </c>
      <c r="B12" s="35" t="s">
        <v>110</v>
      </c>
      <c r="C12" s="35" t="s">
        <v>111</v>
      </c>
      <c r="D12" s="35" t="str">
        <f t="shared" si="3"/>
        <v>000.000.039-00</v>
      </c>
      <c r="E12" s="36">
        <v>34147</v>
      </c>
      <c r="F12" s="37">
        <v>33</v>
      </c>
      <c r="G12" s="35" t="s">
        <v>108</v>
      </c>
      <c r="H12" s="35" t="s">
        <v>109</v>
      </c>
      <c r="I12" s="38">
        <v>28700</v>
      </c>
      <c r="J12" s="38">
        <v>12500</v>
      </c>
      <c r="K12" s="35" t="s">
        <v>49</v>
      </c>
      <c r="L12" s="37">
        <v>41</v>
      </c>
      <c r="M12" s="38">
        <v>99500</v>
      </c>
      <c r="N12" s="35" t="str">
        <f t="shared" si="0"/>
        <v>Alto</v>
      </c>
      <c r="O12" s="35" t="str">
        <f t="shared" si="1"/>
        <v>Passa</v>
      </c>
      <c r="P12" s="35" t="str">
        <f t="shared" si="2"/>
        <v>Passa</v>
      </c>
      <c r="Q12" s="38">
        <f>IF(AND(O12="Negada",P12="Negada"),0,IF(A12="Ativo",M12*0.08,0))</f>
        <v>7960</v>
      </c>
    </row>
    <row r="13" spans="1:17">
      <c r="A13" s="35" t="s">
        <v>77</v>
      </c>
      <c r="B13" s="35" t="s">
        <v>112</v>
      </c>
      <c r="C13" s="35" t="s">
        <v>113</v>
      </c>
      <c r="D13" s="35" t="str">
        <f t="shared" si="3"/>
        <v>000.000.358-00</v>
      </c>
      <c r="E13" s="36">
        <v>20515</v>
      </c>
      <c r="F13" s="37">
        <v>70</v>
      </c>
      <c r="G13" s="35" t="s">
        <v>114</v>
      </c>
      <c r="H13" s="35" t="s">
        <v>109</v>
      </c>
      <c r="I13" s="38">
        <v>19500</v>
      </c>
      <c r="J13" s="38">
        <v>62000</v>
      </c>
      <c r="K13" s="35" t="s">
        <v>50</v>
      </c>
      <c r="L13" s="37">
        <v>45</v>
      </c>
      <c r="M13" s="38">
        <v>35500</v>
      </c>
      <c r="N13" s="35" t="str">
        <f t="shared" si="0"/>
        <v>Alto</v>
      </c>
      <c r="O13" s="35" t="str">
        <f t="shared" si="1"/>
        <v>Negada</v>
      </c>
      <c r="P13" s="35" t="str">
        <f t="shared" si="2"/>
        <v>Negada</v>
      </c>
      <c r="Q13" s="38">
        <f>IF(AND(O13="Negada",P13="Negada"),0,IF(A13="Ativo",M13*0.08,0))</f>
        <v>0</v>
      </c>
    </row>
    <row r="14" spans="1:17">
      <c r="A14" s="35" t="s">
        <v>77</v>
      </c>
      <c r="B14" s="35" t="s">
        <v>115</v>
      </c>
      <c r="C14" s="35" t="s">
        <v>116</v>
      </c>
      <c r="D14" s="35" t="str">
        <f t="shared" si="3"/>
        <v>000.000.365-00</v>
      </c>
      <c r="E14" s="36">
        <v>26382</v>
      </c>
      <c r="F14" s="37">
        <v>54</v>
      </c>
      <c r="G14" s="35" t="s">
        <v>84</v>
      </c>
      <c r="H14" s="35" t="s">
        <v>85</v>
      </c>
      <c r="I14" s="38">
        <v>22100</v>
      </c>
      <c r="J14" s="38">
        <v>37000</v>
      </c>
      <c r="K14" s="35" t="s">
        <v>49</v>
      </c>
      <c r="L14" s="37">
        <v>34</v>
      </c>
      <c r="M14" s="38">
        <v>87000</v>
      </c>
      <c r="N14" s="35" t="str">
        <f t="shared" si="0"/>
        <v>Alto</v>
      </c>
      <c r="O14" s="35" t="str">
        <f t="shared" si="1"/>
        <v>Passa</v>
      </c>
      <c r="P14" s="35" t="str">
        <f t="shared" si="2"/>
        <v>Passa</v>
      </c>
      <c r="Q14" s="38">
        <f>IF(AND(O14="Negada",P14="Negada"),0,IF(A14="Ativo",M14*0.08,0))</f>
        <v>6960</v>
      </c>
    </row>
    <row r="15" spans="1:17">
      <c r="A15" s="35" t="s">
        <v>77</v>
      </c>
      <c r="B15" s="35" t="s">
        <v>117</v>
      </c>
      <c r="C15" s="35" t="s">
        <v>118</v>
      </c>
      <c r="D15" s="35" t="str">
        <f t="shared" si="3"/>
        <v>000.000.086-00</v>
      </c>
      <c r="E15" s="36">
        <v>32260</v>
      </c>
      <c r="F15" s="37">
        <v>38</v>
      </c>
      <c r="G15" s="35" t="s">
        <v>92</v>
      </c>
      <c r="H15" s="35" t="s">
        <v>93</v>
      </c>
      <c r="I15" s="38">
        <v>17600</v>
      </c>
      <c r="J15" s="38">
        <v>0</v>
      </c>
      <c r="K15" s="35" t="s">
        <v>50</v>
      </c>
      <c r="L15" s="37">
        <v>31</v>
      </c>
      <c r="M15" s="38">
        <v>47500</v>
      </c>
      <c r="N15" s="35" t="str">
        <f t="shared" si="0"/>
        <v>Alto</v>
      </c>
      <c r="O15" s="35" t="str">
        <f t="shared" si="1"/>
        <v>Negada</v>
      </c>
      <c r="P15" s="35" t="str">
        <f t="shared" si="2"/>
        <v>Passa</v>
      </c>
      <c r="Q15" s="38">
        <f>IF(AND(O15="Negada",P15="Negada"),0,IF(A15="Ativo",M15*0.08,0))</f>
        <v>3800</v>
      </c>
    </row>
    <row r="16" spans="1:17">
      <c r="A16" s="35" t="s">
        <v>82</v>
      </c>
      <c r="B16" s="35" t="s">
        <v>119</v>
      </c>
      <c r="C16" s="35" t="s">
        <v>120</v>
      </c>
      <c r="D16" s="35" t="str">
        <f t="shared" si="3"/>
        <v>000.000.002-00</v>
      </c>
      <c r="E16" s="36">
        <v>25892</v>
      </c>
      <c r="F16" s="37">
        <v>55</v>
      </c>
      <c r="G16" s="35" t="s">
        <v>84</v>
      </c>
      <c r="H16" s="35" t="s">
        <v>85</v>
      </c>
      <c r="I16" s="38">
        <v>5300</v>
      </c>
      <c r="J16" s="38">
        <v>6500</v>
      </c>
      <c r="K16" s="35" t="s">
        <v>49</v>
      </c>
      <c r="L16" s="37">
        <v>42</v>
      </c>
      <c r="M16" s="38">
        <v>96000</v>
      </c>
      <c r="N16" s="35" t="str">
        <f t="shared" si="0"/>
        <v>Alto</v>
      </c>
      <c r="O16" s="35" t="str">
        <f t="shared" si="1"/>
        <v>Passa</v>
      </c>
      <c r="P16" s="35" t="str">
        <f t="shared" si="2"/>
        <v>Passa</v>
      </c>
      <c r="Q16" s="38">
        <f>IF(AND(O16="Negada",P16="Negada"),0,IF(A16="Ativo",M16*0.08,0))</f>
        <v>0</v>
      </c>
    </row>
    <row r="17" spans="1:17">
      <c r="A17" s="35" t="s">
        <v>82</v>
      </c>
      <c r="B17" s="35" t="s">
        <v>121</v>
      </c>
      <c r="C17" s="35" t="s">
        <v>122</v>
      </c>
      <c r="D17" s="35" t="str">
        <f t="shared" si="3"/>
        <v>000.000.162-00</v>
      </c>
      <c r="E17" s="36">
        <v>29064</v>
      </c>
      <c r="F17" s="37">
        <v>47</v>
      </c>
      <c r="G17" s="35" t="s">
        <v>123</v>
      </c>
      <c r="H17" s="35" t="s">
        <v>124</v>
      </c>
      <c r="I17" s="38">
        <v>13300</v>
      </c>
      <c r="J17" s="38">
        <v>1000</v>
      </c>
      <c r="K17" s="35" t="s">
        <v>50</v>
      </c>
      <c r="L17" s="37">
        <v>24</v>
      </c>
      <c r="M17" s="38">
        <v>61500</v>
      </c>
      <c r="N17" s="35" t="str">
        <f t="shared" si="0"/>
        <v>Médio</v>
      </c>
      <c r="O17" s="35" t="str">
        <f t="shared" si="1"/>
        <v>Passa</v>
      </c>
      <c r="P17" s="35" t="str">
        <f t="shared" si="2"/>
        <v>Passa</v>
      </c>
      <c r="Q17" s="38">
        <f>IF(AND(O17="Negada",P17="Negada"),0,IF(A17="Ativo",M17*0.08,0))</f>
        <v>0</v>
      </c>
    </row>
    <row r="18" spans="1:17">
      <c r="A18" s="35" t="s">
        <v>82</v>
      </c>
      <c r="B18" s="35" t="s">
        <v>125</v>
      </c>
      <c r="C18" s="35" t="s">
        <v>126</v>
      </c>
      <c r="D18" s="35" t="str">
        <f t="shared" si="3"/>
        <v>000.000.318-00</v>
      </c>
      <c r="E18" s="36">
        <v>30391</v>
      </c>
      <c r="F18" s="37">
        <v>43</v>
      </c>
      <c r="G18" s="35" t="s">
        <v>127</v>
      </c>
      <c r="H18" s="35" t="s">
        <v>128</v>
      </c>
      <c r="I18" s="38">
        <v>7100</v>
      </c>
      <c r="J18" s="38">
        <v>5500</v>
      </c>
      <c r="K18" s="35" t="s">
        <v>49</v>
      </c>
      <c r="L18" s="37">
        <v>23</v>
      </c>
      <c r="M18" s="38">
        <v>67000</v>
      </c>
      <c r="N18" s="35" t="str">
        <f t="shared" si="0"/>
        <v>Médio</v>
      </c>
      <c r="O18" s="35" t="str">
        <f t="shared" si="1"/>
        <v>Passa</v>
      </c>
      <c r="P18" s="35" t="str">
        <f t="shared" si="2"/>
        <v>Passa</v>
      </c>
      <c r="Q18" s="38">
        <f>IF(AND(O18="Negada",P18="Negada"),0,IF(A18="Ativo",M18*0.08,0))</f>
        <v>0</v>
      </c>
    </row>
    <row r="19" spans="1:17">
      <c r="A19" s="35" t="s">
        <v>77</v>
      </c>
      <c r="B19" s="35" t="s">
        <v>129</v>
      </c>
      <c r="C19" s="35" t="s">
        <v>130</v>
      </c>
      <c r="D19" s="35" t="str">
        <f t="shared" si="3"/>
        <v>000.000.090-00</v>
      </c>
      <c r="E19" s="36">
        <v>34457</v>
      </c>
      <c r="F19" s="37">
        <v>32</v>
      </c>
      <c r="G19" s="35" t="s">
        <v>123</v>
      </c>
      <c r="H19" s="35" t="s">
        <v>124</v>
      </c>
      <c r="I19" s="38">
        <v>21300</v>
      </c>
      <c r="J19" s="38">
        <v>48000</v>
      </c>
      <c r="K19" s="35" t="s">
        <v>49</v>
      </c>
      <c r="L19" s="37">
        <v>11</v>
      </c>
      <c r="M19" s="38">
        <v>35000</v>
      </c>
      <c r="N19" s="35" t="str">
        <f t="shared" si="0"/>
        <v>Médio</v>
      </c>
      <c r="O19" s="35" t="str">
        <f t="shared" si="1"/>
        <v>Passa</v>
      </c>
      <c r="P19" s="35" t="str">
        <f t="shared" si="2"/>
        <v>Passa</v>
      </c>
      <c r="Q19" s="38">
        <f>IF(AND(O19="Negada",P19="Negada"),0,IF(A19="Ativo",M19*0.08,0))</f>
        <v>2800</v>
      </c>
    </row>
    <row r="20" spans="1:17">
      <c r="A20" s="35" t="s">
        <v>77</v>
      </c>
      <c r="B20" s="35" t="s">
        <v>131</v>
      </c>
      <c r="C20" s="35" t="s">
        <v>132</v>
      </c>
      <c r="D20" s="35" t="str">
        <f t="shared" si="3"/>
        <v>000.000.223-00</v>
      </c>
      <c r="E20" s="36">
        <v>36831</v>
      </c>
      <c r="F20" s="37">
        <v>25</v>
      </c>
      <c r="G20" s="35" t="s">
        <v>133</v>
      </c>
      <c r="H20" s="35" t="s">
        <v>134</v>
      </c>
      <c r="I20" s="38">
        <v>9400</v>
      </c>
      <c r="J20" s="38">
        <v>51500</v>
      </c>
      <c r="K20" s="35" t="s">
        <v>49</v>
      </c>
      <c r="L20" s="37">
        <v>14</v>
      </c>
      <c r="M20" s="38">
        <v>29500</v>
      </c>
      <c r="N20" s="35" t="str">
        <f t="shared" si="0"/>
        <v>Médio</v>
      </c>
      <c r="O20" s="35" t="str">
        <f t="shared" si="1"/>
        <v>Passa</v>
      </c>
      <c r="P20" s="35" t="str">
        <f t="shared" si="2"/>
        <v>Passa</v>
      </c>
      <c r="Q20" s="38">
        <f>IF(AND(O20="Negada",P20="Negada"),0,IF(A20="Ativo",M20*0.08,0))</f>
        <v>2360</v>
      </c>
    </row>
    <row r="21" spans="1:17" ht="15.75" customHeight="1">
      <c r="A21" s="35" t="s">
        <v>77</v>
      </c>
      <c r="B21" s="35" t="s">
        <v>135</v>
      </c>
      <c r="C21" s="35" t="s">
        <v>136</v>
      </c>
      <c r="D21" s="35" t="str">
        <f t="shared" si="3"/>
        <v>000.000.125-00</v>
      </c>
      <c r="E21" s="36">
        <v>37627</v>
      </c>
      <c r="F21" s="37">
        <v>23</v>
      </c>
      <c r="G21" s="35" t="s">
        <v>123</v>
      </c>
      <c r="H21" s="35" t="s">
        <v>124</v>
      </c>
      <c r="I21" s="38"/>
      <c r="J21" s="38">
        <v>69000</v>
      </c>
      <c r="K21" s="35" t="s">
        <v>49</v>
      </c>
      <c r="L21" s="37">
        <v>20</v>
      </c>
      <c r="M21" s="38">
        <v>69000</v>
      </c>
      <c r="N21" s="35" t="str">
        <f t="shared" si="0"/>
        <v>Médio</v>
      </c>
      <c r="O21" s="35" t="str">
        <f t="shared" si="1"/>
        <v>Passa</v>
      </c>
      <c r="P21" s="35" t="str">
        <f t="shared" si="2"/>
        <v>Passa</v>
      </c>
      <c r="Q21" s="38">
        <f>IF(AND(O21="Negada",P21="Negada"),0,IF(A21="Ativo",M21*0.08,0))</f>
        <v>5520</v>
      </c>
    </row>
    <row r="22" spans="1:17" ht="15.75" customHeight="1">
      <c r="A22" s="35" t="s">
        <v>82</v>
      </c>
      <c r="B22" s="35" t="s">
        <v>137</v>
      </c>
      <c r="C22" s="35" t="s">
        <v>138</v>
      </c>
      <c r="D22" s="35" t="str">
        <f t="shared" si="3"/>
        <v>000.000.231-00</v>
      </c>
      <c r="E22" s="36">
        <v>26629</v>
      </c>
      <c r="F22" s="37">
        <v>53</v>
      </c>
      <c r="G22" s="35" t="s">
        <v>139</v>
      </c>
      <c r="H22" s="35" t="s">
        <v>128</v>
      </c>
      <c r="I22" s="38">
        <v>16500</v>
      </c>
      <c r="J22" s="38">
        <v>4000</v>
      </c>
      <c r="K22" s="35" t="s">
        <v>49</v>
      </c>
      <c r="L22" s="37">
        <v>14</v>
      </c>
      <c r="M22" s="38">
        <v>36000</v>
      </c>
      <c r="N22" s="35" t="str">
        <f t="shared" si="0"/>
        <v>Médio</v>
      </c>
      <c r="O22" s="35" t="str">
        <f t="shared" si="1"/>
        <v>Passa</v>
      </c>
      <c r="P22" s="35" t="str">
        <f t="shared" si="2"/>
        <v>Passa</v>
      </c>
      <c r="Q22" s="38">
        <f>IF(AND(O22="Negada",P22="Negada"),0,IF(A22="Ativo",M22*0.08,0))</f>
        <v>0</v>
      </c>
    </row>
    <row r="23" spans="1:17" ht="15.75" customHeight="1">
      <c r="A23" s="35" t="s">
        <v>77</v>
      </c>
      <c r="B23" s="35" t="s">
        <v>140</v>
      </c>
      <c r="C23" s="35" t="s">
        <v>141</v>
      </c>
      <c r="D23" s="35" t="str">
        <f t="shared" si="3"/>
        <v>000.000.184-00</v>
      </c>
      <c r="E23" s="36">
        <v>21378</v>
      </c>
      <c r="F23" s="37">
        <v>68</v>
      </c>
      <c r="G23" s="35" t="s">
        <v>108</v>
      </c>
      <c r="H23" s="35" t="s">
        <v>109</v>
      </c>
      <c r="I23" s="38">
        <v>14300</v>
      </c>
      <c r="J23" s="38">
        <v>32500</v>
      </c>
      <c r="K23" s="35" t="s">
        <v>50</v>
      </c>
      <c r="L23" s="37">
        <v>15</v>
      </c>
      <c r="M23" s="38">
        <v>8000</v>
      </c>
      <c r="N23" s="35" t="str">
        <f t="shared" si="0"/>
        <v>Médio</v>
      </c>
      <c r="O23" s="35" t="str">
        <f t="shared" si="1"/>
        <v>Passa</v>
      </c>
      <c r="P23" s="35" t="str">
        <f t="shared" si="2"/>
        <v>Passa</v>
      </c>
      <c r="Q23" s="38">
        <f>IF(AND(O23="Negada",P23="Negada"),0,IF(A23="Ativo",M23*0.08,0))</f>
        <v>640</v>
      </c>
    </row>
    <row r="24" spans="1:17" ht="15.75" customHeight="1">
      <c r="A24" s="35" t="s">
        <v>82</v>
      </c>
      <c r="B24" s="35" t="s">
        <v>142</v>
      </c>
      <c r="C24" s="35" t="s">
        <v>143</v>
      </c>
      <c r="D24" s="35" t="str">
        <f t="shared" si="3"/>
        <v>000.000.119-00</v>
      </c>
      <c r="E24" s="36">
        <v>34082</v>
      </c>
      <c r="F24" s="37">
        <v>33</v>
      </c>
      <c r="G24" s="35" t="s">
        <v>108</v>
      </c>
      <c r="H24" s="35" t="s">
        <v>109</v>
      </c>
      <c r="I24" s="38">
        <v>23600</v>
      </c>
      <c r="J24" s="38">
        <v>75500</v>
      </c>
      <c r="K24" s="35" t="s">
        <v>49</v>
      </c>
      <c r="L24" s="37">
        <v>16</v>
      </c>
      <c r="M24" s="38">
        <v>88000</v>
      </c>
      <c r="N24" s="35" t="str">
        <f t="shared" si="0"/>
        <v>Médio</v>
      </c>
      <c r="O24" s="35" t="str">
        <f t="shared" si="1"/>
        <v>Passa</v>
      </c>
      <c r="P24" s="35" t="str">
        <f t="shared" si="2"/>
        <v>Passa</v>
      </c>
      <c r="Q24" s="38">
        <f>IF(AND(O24="Negada",P24="Negada"),0,IF(A24="Ativo",M24*0.08,0))</f>
        <v>0</v>
      </c>
    </row>
    <row r="25" spans="1:17" ht="15.75" customHeight="1">
      <c r="A25" s="35" t="s">
        <v>77</v>
      </c>
      <c r="B25" s="35" t="s">
        <v>144</v>
      </c>
      <c r="C25" s="35" t="s">
        <v>145</v>
      </c>
      <c r="D25" s="35" t="str">
        <f t="shared" si="3"/>
        <v>000.000.362-00</v>
      </c>
      <c r="E25" s="36">
        <v>21145</v>
      </c>
      <c r="F25" s="37">
        <v>68</v>
      </c>
      <c r="G25" s="35" t="s">
        <v>146</v>
      </c>
      <c r="H25" s="35" t="s">
        <v>128</v>
      </c>
      <c r="I25" s="38">
        <v>29000</v>
      </c>
      <c r="J25" s="38">
        <v>67500</v>
      </c>
      <c r="K25" s="35" t="s">
        <v>49</v>
      </c>
      <c r="L25" s="37">
        <v>25</v>
      </c>
      <c r="M25" s="38">
        <v>18000</v>
      </c>
      <c r="N25" s="35" t="str">
        <f t="shared" si="0"/>
        <v>Médio</v>
      </c>
      <c r="O25" s="35" t="str">
        <f t="shared" si="1"/>
        <v>Passa</v>
      </c>
      <c r="P25" s="35" t="str">
        <f t="shared" si="2"/>
        <v>Passa</v>
      </c>
      <c r="Q25" s="38">
        <f>IF(AND(O25="Negada",P25="Negada"),0,IF(A25="Ativo",M25*0.08,0))</f>
        <v>1440</v>
      </c>
    </row>
    <row r="26" spans="1:17" ht="15.75" customHeight="1">
      <c r="A26" s="35" t="s">
        <v>82</v>
      </c>
      <c r="B26" s="35" t="s">
        <v>147</v>
      </c>
      <c r="C26" s="35" t="s">
        <v>148</v>
      </c>
      <c r="D26" s="35" t="str">
        <f t="shared" si="3"/>
        <v>000.000.346-00</v>
      </c>
      <c r="E26" s="36">
        <v>23259</v>
      </c>
      <c r="F26" s="37">
        <v>63</v>
      </c>
      <c r="G26" s="35" t="s">
        <v>88</v>
      </c>
      <c r="H26" s="35" t="s">
        <v>89</v>
      </c>
      <c r="I26" s="38"/>
      <c r="J26" s="38">
        <v>0</v>
      </c>
      <c r="K26" s="35" t="s">
        <v>50</v>
      </c>
      <c r="L26" s="37">
        <v>1</v>
      </c>
      <c r="M26" s="38">
        <v>12000</v>
      </c>
      <c r="N26" s="35" t="str">
        <f t="shared" si="0"/>
        <v>Baixo</v>
      </c>
      <c r="O26" s="35" t="str">
        <f t="shared" si="1"/>
        <v>Passa</v>
      </c>
      <c r="P26" s="35" t="str">
        <f t="shared" si="2"/>
        <v>Passa</v>
      </c>
      <c r="Q26" s="38">
        <f>IF(AND(O26="Negada",P26="Negada"),0,IF(A26="Ativo",M26*0.08,0))</f>
        <v>0</v>
      </c>
    </row>
    <row r="27" spans="1:17" ht="15.75" customHeight="1">
      <c r="A27" s="35" t="s">
        <v>77</v>
      </c>
      <c r="B27" s="35" t="s">
        <v>149</v>
      </c>
      <c r="C27" s="35" t="s">
        <v>150</v>
      </c>
      <c r="D27" s="35" t="str">
        <f t="shared" si="3"/>
        <v>000.000.287-00</v>
      </c>
      <c r="E27" s="36">
        <v>24911</v>
      </c>
      <c r="F27" s="37">
        <v>58</v>
      </c>
      <c r="G27" s="35" t="s">
        <v>151</v>
      </c>
      <c r="H27" s="35" t="s">
        <v>124</v>
      </c>
      <c r="I27" s="38">
        <v>25400</v>
      </c>
      <c r="J27" s="38">
        <v>70500</v>
      </c>
      <c r="K27" s="35" t="s">
        <v>50</v>
      </c>
      <c r="L27" s="37">
        <v>11</v>
      </c>
      <c r="M27" s="38">
        <v>47000</v>
      </c>
      <c r="N27" s="35" t="str">
        <f t="shared" si="0"/>
        <v>Médio</v>
      </c>
      <c r="O27" s="35" t="str">
        <f t="shared" si="1"/>
        <v>Passa</v>
      </c>
      <c r="P27" s="35" t="str">
        <f t="shared" si="2"/>
        <v>Negada</v>
      </c>
      <c r="Q27" s="38">
        <f>IF(AND(O27="Negada",P27="Negada"),0,IF(A27="Ativo",M27*0.08,0))</f>
        <v>3760</v>
      </c>
    </row>
    <row r="28" spans="1:17" ht="15.75" customHeight="1">
      <c r="A28" s="35" t="s">
        <v>77</v>
      </c>
      <c r="B28" s="35" t="s">
        <v>94</v>
      </c>
      <c r="C28" s="35" t="s">
        <v>152</v>
      </c>
      <c r="D28" s="35" t="str">
        <f t="shared" si="3"/>
        <v>000.000.343-00</v>
      </c>
      <c r="E28" s="36">
        <v>28408</v>
      </c>
      <c r="F28" s="37">
        <v>48</v>
      </c>
      <c r="G28" s="35" t="s">
        <v>153</v>
      </c>
      <c r="H28" s="35" t="s">
        <v>128</v>
      </c>
      <c r="I28" s="38">
        <v>13300</v>
      </c>
      <c r="J28" s="38">
        <v>42000</v>
      </c>
      <c r="K28" s="35" t="s">
        <v>50</v>
      </c>
      <c r="L28" s="37">
        <v>27</v>
      </c>
      <c r="M28" s="38">
        <v>40000</v>
      </c>
      <c r="N28" s="35" t="str">
        <f t="shared" si="0"/>
        <v>Alto</v>
      </c>
      <c r="O28" s="35" t="str">
        <f t="shared" si="1"/>
        <v>Negada</v>
      </c>
      <c r="P28" s="35" t="str">
        <f t="shared" si="2"/>
        <v>Passa</v>
      </c>
      <c r="Q28" s="38">
        <f>IF(AND(O28="Negada",P28="Negada"),0,IF(A28="Ativo",M28*0.08,0))</f>
        <v>3200</v>
      </c>
    </row>
    <row r="29" spans="1:17" ht="15.75" customHeight="1">
      <c r="A29" s="35" t="s">
        <v>77</v>
      </c>
      <c r="B29" s="35" t="s">
        <v>154</v>
      </c>
      <c r="C29" s="35" t="s">
        <v>155</v>
      </c>
      <c r="D29" s="35" t="str">
        <f t="shared" si="3"/>
        <v>000.000.124-00</v>
      </c>
      <c r="E29" s="36">
        <v>35323</v>
      </c>
      <c r="F29" s="37">
        <v>29</v>
      </c>
      <c r="G29" s="35" t="s">
        <v>156</v>
      </c>
      <c r="H29" s="35" t="s">
        <v>134</v>
      </c>
      <c r="I29" s="38">
        <v>21200</v>
      </c>
      <c r="J29" s="38">
        <v>75000</v>
      </c>
      <c r="K29" s="35" t="s">
        <v>49</v>
      </c>
      <c r="L29" s="37">
        <v>6</v>
      </c>
      <c r="M29" s="38">
        <v>63500</v>
      </c>
      <c r="N29" s="35" t="str">
        <f t="shared" si="0"/>
        <v>Baixo</v>
      </c>
      <c r="O29" s="35" t="str">
        <f t="shared" si="1"/>
        <v>Passa</v>
      </c>
      <c r="P29" s="35" t="str">
        <f t="shared" si="2"/>
        <v>Passa</v>
      </c>
      <c r="Q29" s="38">
        <f>IF(AND(O29="Negada",P29="Negada"),0,IF(A29="Ativo",M29*0.08,0))</f>
        <v>5080</v>
      </c>
    </row>
    <row r="30" spans="1:17" ht="15.75" customHeight="1">
      <c r="A30" s="35" t="s">
        <v>77</v>
      </c>
      <c r="B30" s="35" t="s">
        <v>157</v>
      </c>
      <c r="C30" s="35" t="s">
        <v>158</v>
      </c>
      <c r="D30" s="35" t="str">
        <f t="shared" si="3"/>
        <v>000.000.226-00</v>
      </c>
      <c r="E30" s="36">
        <v>32166</v>
      </c>
      <c r="F30" s="37">
        <v>38</v>
      </c>
      <c r="G30" s="35" t="s">
        <v>127</v>
      </c>
      <c r="H30" s="35" t="s">
        <v>128</v>
      </c>
      <c r="I30" s="38">
        <v>19500</v>
      </c>
      <c r="J30" s="38">
        <v>39000</v>
      </c>
      <c r="K30" s="35" t="s">
        <v>49</v>
      </c>
      <c r="L30" s="37">
        <v>25</v>
      </c>
      <c r="M30" s="38">
        <v>88500</v>
      </c>
      <c r="N30" s="35" t="str">
        <f t="shared" si="0"/>
        <v>Médio</v>
      </c>
      <c r="O30" s="35" t="str">
        <f t="shared" si="1"/>
        <v>Passa</v>
      </c>
      <c r="P30" s="35" t="str">
        <f t="shared" si="2"/>
        <v>Passa</v>
      </c>
      <c r="Q30" s="38">
        <f>IF(AND(O30="Negada",P30="Negada"),0,IF(A30="Ativo",M30*0.08,0))</f>
        <v>7080</v>
      </c>
    </row>
    <row r="31" spans="1:17" ht="15.75" customHeight="1">
      <c r="A31" s="35" t="s">
        <v>82</v>
      </c>
      <c r="B31" s="35" t="s">
        <v>159</v>
      </c>
      <c r="C31" s="35" t="s">
        <v>160</v>
      </c>
      <c r="D31" s="35" t="str">
        <f t="shared" si="3"/>
        <v>000.000.306-00</v>
      </c>
      <c r="E31" s="36">
        <v>21293</v>
      </c>
      <c r="F31" s="37">
        <v>68</v>
      </c>
      <c r="G31" s="35" t="s">
        <v>92</v>
      </c>
      <c r="H31" s="35" t="s">
        <v>93</v>
      </c>
      <c r="I31" s="38">
        <v>3800</v>
      </c>
      <c r="J31" s="38">
        <v>70000</v>
      </c>
      <c r="K31" s="35" t="s">
        <v>50</v>
      </c>
      <c r="L31" s="37">
        <v>34</v>
      </c>
      <c r="M31" s="38">
        <v>7500</v>
      </c>
      <c r="N31" s="35" t="str">
        <f t="shared" si="0"/>
        <v>Alto</v>
      </c>
      <c r="O31" s="35" t="str">
        <f t="shared" si="1"/>
        <v>Negada</v>
      </c>
      <c r="P31" s="35" t="str">
        <f t="shared" si="2"/>
        <v>Negada</v>
      </c>
      <c r="Q31" s="38">
        <f>IF(AND(O31="Negada",P31="Negada"),0,IF(A31="Ativo",M31*0.08,0))</f>
        <v>0</v>
      </c>
    </row>
    <row r="32" spans="1:17" ht="15.75" customHeight="1">
      <c r="A32" s="35" t="s">
        <v>77</v>
      </c>
      <c r="B32" s="35" t="s">
        <v>161</v>
      </c>
      <c r="C32" s="35" t="s">
        <v>162</v>
      </c>
      <c r="D32" s="35" t="str">
        <f t="shared" si="3"/>
        <v>000.000.247-00</v>
      </c>
      <c r="E32" s="36">
        <v>39220</v>
      </c>
      <c r="F32" s="37">
        <v>19</v>
      </c>
      <c r="G32" s="35" t="s">
        <v>133</v>
      </c>
      <c r="H32" s="35" t="s">
        <v>134</v>
      </c>
      <c r="I32" s="38">
        <v>18000</v>
      </c>
      <c r="J32" s="38">
        <v>50500</v>
      </c>
      <c r="K32" s="35" t="s">
        <v>50</v>
      </c>
      <c r="L32" s="37">
        <v>11</v>
      </c>
      <c r="M32" s="38">
        <v>26000</v>
      </c>
      <c r="N32" s="35" t="str">
        <f t="shared" si="0"/>
        <v>Médio</v>
      </c>
      <c r="O32" s="35" t="str">
        <f t="shared" si="1"/>
        <v>Passa</v>
      </c>
      <c r="P32" s="35" t="str">
        <f t="shared" si="2"/>
        <v>Negada</v>
      </c>
      <c r="Q32" s="38">
        <f>IF(AND(O32="Negada",P32="Negada"),0,IF(A32="Ativo",M32*0.08,0))</f>
        <v>2080</v>
      </c>
    </row>
    <row r="33" spans="1:17" ht="15.75" customHeight="1">
      <c r="A33" s="35" t="s">
        <v>77</v>
      </c>
      <c r="B33" s="35" t="s">
        <v>163</v>
      </c>
      <c r="C33" s="35" t="s">
        <v>164</v>
      </c>
      <c r="D33" s="35" t="str">
        <f t="shared" si="3"/>
        <v>000.000.154-00</v>
      </c>
      <c r="E33" s="36">
        <v>30642</v>
      </c>
      <c r="F33" s="37">
        <v>42</v>
      </c>
      <c r="G33" s="35" t="s">
        <v>165</v>
      </c>
      <c r="H33" s="35" t="s">
        <v>165</v>
      </c>
      <c r="I33" s="38"/>
      <c r="J33" s="38">
        <v>19500</v>
      </c>
      <c r="K33" s="35" t="s">
        <v>49</v>
      </c>
      <c r="L33" s="37">
        <v>42</v>
      </c>
      <c r="M33" s="38">
        <v>89500</v>
      </c>
      <c r="N33" s="35" t="str">
        <f t="shared" si="0"/>
        <v>Alto</v>
      </c>
      <c r="O33" s="35" t="str">
        <f t="shared" si="1"/>
        <v>Passa</v>
      </c>
      <c r="P33" s="35" t="str">
        <f t="shared" si="2"/>
        <v>Passa</v>
      </c>
      <c r="Q33" s="38">
        <f>IF(AND(O33="Negada",P33="Negada"),0,IF(A33="Ativo",M33*0.08,0))</f>
        <v>7160</v>
      </c>
    </row>
    <row r="34" spans="1:17" ht="15.75" customHeight="1">
      <c r="A34" s="35" t="s">
        <v>77</v>
      </c>
      <c r="B34" s="35" t="s">
        <v>166</v>
      </c>
      <c r="C34" s="35" t="s">
        <v>167</v>
      </c>
      <c r="D34" s="35" t="str">
        <f t="shared" si="3"/>
        <v>000.000.249-00</v>
      </c>
      <c r="E34" s="36">
        <v>36319</v>
      </c>
      <c r="F34" s="37">
        <v>27</v>
      </c>
      <c r="G34" s="35" t="s">
        <v>84</v>
      </c>
      <c r="H34" s="35" t="s">
        <v>85</v>
      </c>
      <c r="I34" s="38">
        <v>28800</v>
      </c>
      <c r="J34" s="38">
        <v>78500</v>
      </c>
      <c r="K34" s="35" t="s">
        <v>49</v>
      </c>
      <c r="L34" s="37">
        <v>2</v>
      </c>
      <c r="M34" s="38">
        <v>53000</v>
      </c>
      <c r="N34" s="35" t="str">
        <f t="shared" si="0"/>
        <v>Baixo</v>
      </c>
      <c r="O34" s="35" t="str">
        <f t="shared" si="1"/>
        <v>Passa</v>
      </c>
      <c r="P34" s="35" t="str">
        <f t="shared" si="2"/>
        <v>Passa</v>
      </c>
      <c r="Q34" s="38">
        <f>IF(AND(O34="Negada",P34="Negada"),0,IF(A34="Ativo",M34*0.08,0))</f>
        <v>4240</v>
      </c>
    </row>
    <row r="35" spans="1:17" ht="15.75" customHeight="1">
      <c r="A35" s="35" t="s">
        <v>77</v>
      </c>
      <c r="B35" s="35" t="s">
        <v>168</v>
      </c>
      <c r="C35" s="35" t="s">
        <v>169</v>
      </c>
      <c r="D35" s="35" t="str">
        <f t="shared" si="3"/>
        <v>000.000.057-00</v>
      </c>
      <c r="E35" s="36">
        <v>30878</v>
      </c>
      <c r="F35" s="37">
        <v>42</v>
      </c>
      <c r="G35" s="35" t="s">
        <v>92</v>
      </c>
      <c r="H35" s="35" t="s">
        <v>93</v>
      </c>
      <c r="I35" s="38">
        <v>17500</v>
      </c>
      <c r="J35" s="38">
        <v>3500</v>
      </c>
      <c r="K35" s="35" t="s">
        <v>49</v>
      </c>
      <c r="L35" s="37">
        <v>25</v>
      </c>
      <c r="M35" s="38">
        <v>35000</v>
      </c>
      <c r="N35" s="35" t="str">
        <f t="shared" si="0"/>
        <v>Médio</v>
      </c>
      <c r="O35" s="35" t="str">
        <f t="shared" si="1"/>
        <v>Passa</v>
      </c>
      <c r="P35" s="35" t="str">
        <f t="shared" si="2"/>
        <v>Passa</v>
      </c>
      <c r="Q35" s="38">
        <f>IF(AND(O35="Negada",P35="Negada"),0,IF(A35="Ativo",M35*0.08,0))</f>
        <v>2800</v>
      </c>
    </row>
    <row r="36" spans="1:17" ht="15.75" customHeight="1">
      <c r="A36" s="35" t="s">
        <v>77</v>
      </c>
      <c r="B36" s="35" t="s">
        <v>170</v>
      </c>
      <c r="C36" s="35" t="s">
        <v>171</v>
      </c>
      <c r="D36" s="35" t="str">
        <f t="shared" si="3"/>
        <v>000.000.016-00</v>
      </c>
      <c r="E36" s="36">
        <v>29975</v>
      </c>
      <c r="F36" s="37">
        <v>44</v>
      </c>
      <c r="G36" s="35" t="s">
        <v>98</v>
      </c>
      <c r="H36" s="35" t="s">
        <v>99</v>
      </c>
      <c r="I36" s="38">
        <v>5300</v>
      </c>
      <c r="J36" s="38">
        <v>6000</v>
      </c>
      <c r="K36" s="35" t="s">
        <v>50</v>
      </c>
      <c r="L36" s="37">
        <v>1</v>
      </c>
      <c r="M36" s="38">
        <v>4500</v>
      </c>
      <c r="N36" s="35" t="str">
        <f t="shared" si="0"/>
        <v>Baixo</v>
      </c>
      <c r="O36" s="35" t="str">
        <f t="shared" si="1"/>
        <v>Passa</v>
      </c>
      <c r="P36" s="35" t="str">
        <f t="shared" si="2"/>
        <v>Passa</v>
      </c>
      <c r="Q36" s="38">
        <f>IF(AND(O36="Negada",P36="Negada"),0,IF(A36="Ativo",M36*0.08,0))</f>
        <v>360</v>
      </c>
    </row>
    <row r="37" spans="1:17" ht="15.75" customHeight="1">
      <c r="A37" s="35" t="s">
        <v>77</v>
      </c>
      <c r="B37" s="35" t="s">
        <v>172</v>
      </c>
      <c r="C37" s="35" t="s">
        <v>173</v>
      </c>
      <c r="D37" s="35" t="str">
        <f t="shared" si="3"/>
        <v>000.000.205-00</v>
      </c>
      <c r="E37" s="36">
        <v>31539</v>
      </c>
      <c r="F37" s="37">
        <v>40</v>
      </c>
      <c r="G37" s="35" t="s">
        <v>146</v>
      </c>
      <c r="H37" s="35" t="s">
        <v>128</v>
      </c>
      <c r="I37" s="38">
        <v>9900</v>
      </c>
      <c r="J37" s="38">
        <v>3500</v>
      </c>
      <c r="K37" s="35" t="s">
        <v>49</v>
      </c>
      <c r="L37" s="37">
        <v>1</v>
      </c>
      <c r="M37" s="38">
        <v>23500</v>
      </c>
      <c r="N37" s="35" t="str">
        <f t="shared" si="0"/>
        <v>Baixo</v>
      </c>
      <c r="O37" s="35" t="str">
        <f t="shared" si="1"/>
        <v>Passa</v>
      </c>
      <c r="P37" s="35" t="str">
        <f t="shared" si="2"/>
        <v>Passa</v>
      </c>
      <c r="Q37" s="38">
        <f>IF(AND(O37="Negada",P37="Negada"),0,IF(A37="Ativo",M37*0.08,0))</f>
        <v>1880</v>
      </c>
    </row>
    <row r="38" spans="1:17" ht="15.75" customHeight="1">
      <c r="A38" s="35" t="s">
        <v>77</v>
      </c>
      <c r="B38" s="35" t="s">
        <v>174</v>
      </c>
      <c r="C38" s="35" t="s">
        <v>175</v>
      </c>
      <c r="D38" s="35" t="str">
        <f t="shared" si="3"/>
        <v>000.000.005-00</v>
      </c>
      <c r="E38" s="36">
        <v>22236</v>
      </c>
      <c r="F38" s="37">
        <v>65</v>
      </c>
      <c r="G38" s="35" t="s">
        <v>92</v>
      </c>
      <c r="H38" s="35" t="s">
        <v>93</v>
      </c>
      <c r="I38" s="38">
        <v>23400</v>
      </c>
      <c r="J38" s="38">
        <v>28000</v>
      </c>
      <c r="K38" s="35" t="s">
        <v>49</v>
      </c>
      <c r="L38" s="37">
        <v>34</v>
      </c>
      <c r="M38" s="38">
        <v>74000</v>
      </c>
      <c r="N38" s="35" t="str">
        <f t="shared" si="0"/>
        <v>Alto</v>
      </c>
      <c r="O38" s="35" t="str">
        <f t="shared" si="1"/>
        <v>Passa</v>
      </c>
      <c r="P38" s="35" t="str">
        <f t="shared" si="2"/>
        <v>Passa</v>
      </c>
      <c r="Q38" s="38">
        <f>IF(AND(O38="Negada",P38="Negada"),0,IF(A38="Ativo",M38*0.08,0))</f>
        <v>5920</v>
      </c>
    </row>
    <row r="39" spans="1:17" ht="15.75" customHeight="1">
      <c r="A39" s="35" t="s">
        <v>176</v>
      </c>
      <c r="B39" s="35" t="s">
        <v>177</v>
      </c>
      <c r="C39" s="35" t="s">
        <v>178</v>
      </c>
      <c r="D39" s="35" t="str">
        <f t="shared" si="3"/>
        <v>000.000.131-00</v>
      </c>
      <c r="E39" s="36">
        <v>22974</v>
      </c>
      <c r="F39" s="37">
        <v>63</v>
      </c>
      <c r="G39" s="35" t="s">
        <v>165</v>
      </c>
      <c r="H39" s="35" t="s">
        <v>165</v>
      </c>
      <c r="I39" s="38">
        <v>14700</v>
      </c>
      <c r="J39" s="38">
        <v>0</v>
      </c>
      <c r="K39" s="35" t="s">
        <v>50</v>
      </c>
      <c r="L39" s="37">
        <v>40</v>
      </c>
      <c r="M39" s="38">
        <v>83500</v>
      </c>
      <c r="N39" s="35" t="str">
        <f t="shared" si="0"/>
        <v>Alto</v>
      </c>
      <c r="O39" s="35" t="str">
        <f t="shared" si="1"/>
        <v>Negada</v>
      </c>
      <c r="P39" s="35" t="str">
        <f t="shared" si="2"/>
        <v>Passa</v>
      </c>
      <c r="Q39" s="38">
        <f>IF(AND(O39="Negada",P39="Negada"),0,IF(A39="Ativo",M39*0.08,0))</f>
        <v>0</v>
      </c>
    </row>
    <row r="40" spans="1:17" ht="15.75" customHeight="1">
      <c r="A40" s="35" t="s">
        <v>77</v>
      </c>
      <c r="B40" s="35" t="s">
        <v>179</v>
      </c>
      <c r="C40" s="35" t="s">
        <v>180</v>
      </c>
      <c r="D40" s="35" t="str">
        <f t="shared" si="3"/>
        <v>000.000.364-00</v>
      </c>
      <c r="E40" s="36"/>
      <c r="F40" s="37">
        <v>22</v>
      </c>
      <c r="G40" s="35" t="s">
        <v>108</v>
      </c>
      <c r="H40" s="35" t="s">
        <v>109</v>
      </c>
      <c r="I40" s="38">
        <v>14400</v>
      </c>
      <c r="J40" s="38">
        <v>0</v>
      </c>
      <c r="K40" s="35" t="s">
        <v>49</v>
      </c>
      <c r="L40" s="37">
        <v>27</v>
      </c>
      <c r="M40" s="38">
        <v>33500</v>
      </c>
      <c r="N40" s="35" t="str">
        <f t="shared" si="0"/>
        <v>Alto</v>
      </c>
      <c r="O40" s="35" t="str">
        <f t="shared" si="1"/>
        <v>Passa</v>
      </c>
      <c r="P40" s="35" t="str">
        <f t="shared" si="2"/>
        <v>Passa</v>
      </c>
      <c r="Q40" s="38">
        <f>IF(AND(O40="Negada",P40="Negada"),0,IF(A40="Ativo",M40*0.08,0))</f>
        <v>2680</v>
      </c>
    </row>
    <row r="41" spans="1:17" ht="15.75" customHeight="1">
      <c r="A41" s="35" t="s">
        <v>77</v>
      </c>
      <c r="B41" s="35" t="s">
        <v>181</v>
      </c>
      <c r="C41" s="35" t="s">
        <v>182</v>
      </c>
      <c r="D41" s="35" t="str">
        <f t="shared" si="3"/>
        <v>000.000.050-00</v>
      </c>
      <c r="E41" s="36">
        <v>31879</v>
      </c>
      <c r="F41" s="37">
        <v>39</v>
      </c>
      <c r="G41" s="35" t="s">
        <v>133</v>
      </c>
      <c r="H41" s="35" t="s">
        <v>134</v>
      </c>
      <c r="I41" s="38">
        <v>29900</v>
      </c>
      <c r="J41" s="38">
        <v>0</v>
      </c>
      <c r="K41" s="35" t="s">
        <v>49</v>
      </c>
      <c r="L41" s="37">
        <v>39</v>
      </c>
      <c r="M41" s="38">
        <v>75000</v>
      </c>
      <c r="N41" s="35" t="str">
        <f t="shared" si="0"/>
        <v>Alto</v>
      </c>
      <c r="O41" s="35" t="str">
        <f t="shared" si="1"/>
        <v>Passa</v>
      </c>
      <c r="P41" s="35" t="str">
        <f t="shared" si="2"/>
        <v>Passa</v>
      </c>
      <c r="Q41" s="38">
        <f>IF(AND(O41="Negada",P41="Negada"),0,IF(A41="Ativo",M41*0.08,0))</f>
        <v>6000</v>
      </c>
    </row>
    <row r="42" spans="1:17" ht="15.75" customHeight="1">
      <c r="A42" s="35" t="s">
        <v>77</v>
      </c>
      <c r="B42" s="35" t="s">
        <v>183</v>
      </c>
      <c r="C42" s="35" t="s">
        <v>184</v>
      </c>
      <c r="D42" s="35" t="str">
        <f t="shared" si="3"/>
        <v>000.000.222-00</v>
      </c>
      <c r="E42" s="36">
        <v>23231</v>
      </c>
      <c r="F42" s="37">
        <v>63</v>
      </c>
      <c r="G42" s="35" t="s">
        <v>153</v>
      </c>
      <c r="H42" s="35" t="s">
        <v>128</v>
      </c>
      <c r="I42" s="38">
        <v>16800</v>
      </c>
      <c r="J42" s="38">
        <v>0</v>
      </c>
      <c r="K42" s="35"/>
      <c r="L42" s="37">
        <v>32</v>
      </c>
      <c r="M42" s="38">
        <v>61500</v>
      </c>
      <c r="N42" s="35" t="str">
        <f t="shared" si="0"/>
        <v>Alto</v>
      </c>
      <c r="O42" s="35" t="str">
        <f t="shared" si="1"/>
        <v>Passa</v>
      </c>
      <c r="P42" s="35" t="str">
        <f t="shared" si="2"/>
        <v>Passa</v>
      </c>
      <c r="Q42" s="38">
        <f>IF(AND(O42="Negada",P42="Negada"),0,IF(A42="Ativo",M42*0.08,0))</f>
        <v>4920</v>
      </c>
    </row>
    <row r="43" spans="1:17" ht="15.75" customHeight="1">
      <c r="A43" s="35" t="s">
        <v>77</v>
      </c>
      <c r="B43" s="35" t="s">
        <v>185</v>
      </c>
      <c r="C43" s="35" t="s">
        <v>186</v>
      </c>
      <c r="D43" s="35" t="str">
        <f t="shared" si="3"/>
        <v>000.000.341-00</v>
      </c>
      <c r="E43" s="36">
        <v>26213</v>
      </c>
      <c r="F43" s="37">
        <v>54</v>
      </c>
      <c r="G43" s="35" t="s">
        <v>133</v>
      </c>
      <c r="H43" s="35" t="s">
        <v>134</v>
      </c>
      <c r="I43" s="38">
        <v>29700</v>
      </c>
      <c r="J43" s="38">
        <v>34000</v>
      </c>
      <c r="K43" s="35" t="s">
        <v>49</v>
      </c>
      <c r="L43" s="37">
        <v>35</v>
      </c>
      <c r="M43" s="38">
        <v>35000</v>
      </c>
      <c r="N43" s="35" t="str">
        <f t="shared" si="0"/>
        <v>Alto</v>
      </c>
      <c r="O43" s="35" t="str">
        <f t="shared" si="1"/>
        <v>Passa</v>
      </c>
      <c r="P43" s="35" t="str">
        <f t="shared" si="2"/>
        <v>Passa</v>
      </c>
      <c r="Q43" s="38">
        <f>IF(AND(O43="Negada",P43="Negada"),0,IF(A43="Ativo",M43*0.08,0))</f>
        <v>2800</v>
      </c>
    </row>
    <row r="44" spans="1:17" ht="15.75" customHeight="1">
      <c r="A44" s="35" t="s">
        <v>77</v>
      </c>
      <c r="B44" s="35" t="s">
        <v>100</v>
      </c>
      <c r="C44" s="35" t="s">
        <v>187</v>
      </c>
      <c r="D44" s="35" t="str">
        <f t="shared" si="3"/>
        <v>000.000.140-00</v>
      </c>
      <c r="E44" s="36">
        <v>35472</v>
      </c>
      <c r="F44" s="37">
        <v>29</v>
      </c>
      <c r="G44" s="35" t="s">
        <v>146</v>
      </c>
      <c r="H44" s="35" t="s">
        <v>128</v>
      </c>
      <c r="I44" s="38">
        <v>11900</v>
      </c>
      <c r="J44" s="38">
        <v>65000</v>
      </c>
      <c r="K44" s="35" t="s">
        <v>50</v>
      </c>
      <c r="L44" s="37">
        <v>29</v>
      </c>
      <c r="M44" s="38">
        <v>12000</v>
      </c>
      <c r="N44" s="35" t="str">
        <f t="shared" si="0"/>
        <v>Alto</v>
      </c>
      <c r="O44" s="35" t="str">
        <f t="shared" si="1"/>
        <v>Negada</v>
      </c>
      <c r="P44" s="35" t="str">
        <f t="shared" si="2"/>
        <v>Negada</v>
      </c>
      <c r="Q44" s="38">
        <f>IF(AND(O44="Negada",P44="Negada"),0,IF(A44="Ativo",M44*0.08,0))</f>
        <v>0</v>
      </c>
    </row>
    <row r="45" spans="1:17" ht="15.75" customHeight="1">
      <c r="A45" s="35" t="s">
        <v>77</v>
      </c>
      <c r="B45" s="35" t="s">
        <v>188</v>
      </c>
      <c r="C45" s="35" t="s">
        <v>189</v>
      </c>
      <c r="D45" s="35" t="str">
        <f t="shared" si="3"/>
        <v>000.000.165-00</v>
      </c>
      <c r="E45" s="36">
        <v>32513</v>
      </c>
      <c r="F45" s="37">
        <v>37</v>
      </c>
      <c r="G45" s="35" t="s">
        <v>190</v>
      </c>
      <c r="H45" s="35" t="s">
        <v>134</v>
      </c>
      <c r="I45" s="38">
        <v>2600</v>
      </c>
      <c r="J45" s="38"/>
      <c r="K45" s="35" t="s">
        <v>49</v>
      </c>
      <c r="L45" s="37">
        <v>5</v>
      </c>
      <c r="M45" s="38">
        <v>16500</v>
      </c>
      <c r="N45" s="35" t="str">
        <f t="shared" si="0"/>
        <v>Baixo</v>
      </c>
      <c r="O45" s="35" t="str">
        <f t="shared" si="1"/>
        <v>Passa</v>
      </c>
      <c r="P45" s="35" t="str">
        <f t="shared" si="2"/>
        <v>Passa</v>
      </c>
      <c r="Q45" s="38">
        <f>IF(AND(O45="Negada",P45="Negada"),0,IF(A45="Ativo",M45*0.08,0))</f>
        <v>1320</v>
      </c>
    </row>
    <row r="46" spans="1:17" ht="15.75" customHeight="1">
      <c r="A46" s="35" t="s">
        <v>77</v>
      </c>
      <c r="B46" s="35" t="s">
        <v>191</v>
      </c>
      <c r="C46" s="35" t="s">
        <v>192</v>
      </c>
      <c r="D46" s="35" t="str">
        <f t="shared" si="3"/>
        <v>000.000.151-00</v>
      </c>
      <c r="E46" s="36">
        <v>37125</v>
      </c>
      <c r="F46" s="37">
        <v>25</v>
      </c>
      <c r="G46" s="35" t="s">
        <v>165</v>
      </c>
      <c r="H46" s="35" t="s">
        <v>165</v>
      </c>
      <c r="I46" s="38">
        <v>2500</v>
      </c>
      <c r="J46" s="38">
        <v>72500</v>
      </c>
      <c r="K46" s="35" t="s">
        <v>49</v>
      </c>
      <c r="L46" s="37">
        <v>32</v>
      </c>
      <c r="M46" s="38">
        <v>97000</v>
      </c>
      <c r="N46" s="35" t="str">
        <f t="shared" si="0"/>
        <v>Alto</v>
      </c>
      <c r="O46" s="35" t="str">
        <f t="shared" si="1"/>
        <v>Passa</v>
      </c>
      <c r="P46" s="35" t="str">
        <f t="shared" si="2"/>
        <v>Passa</v>
      </c>
      <c r="Q46" s="38">
        <f>IF(AND(O46="Negada",P46="Negada"),0,IF(A46="Ativo",M46*0.08,0))</f>
        <v>7760</v>
      </c>
    </row>
    <row r="47" spans="1:17" ht="15.75" customHeight="1">
      <c r="A47" s="35" t="s">
        <v>77</v>
      </c>
      <c r="B47" s="35" t="s">
        <v>193</v>
      </c>
      <c r="C47" s="35" t="s">
        <v>194</v>
      </c>
      <c r="D47" s="35" t="str">
        <f t="shared" si="3"/>
        <v>000.000.333-00</v>
      </c>
      <c r="E47" s="36">
        <v>38323</v>
      </c>
      <c r="F47" s="37">
        <v>21</v>
      </c>
      <c r="G47" s="35" t="s">
        <v>123</v>
      </c>
      <c r="H47" s="35" t="s">
        <v>124</v>
      </c>
      <c r="I47" s="38">
        <v>3800</v>
      </c>
      <c r="J47" s="38">
        <v>0</v>
      </c>
      <c r="K47" s="35" t="s">
        <v>49</v>
      </c>
      <c r="L47" s="37">
        <v>25</v>
      </c>
      <c r="M47" s="38">
        <v>50000</v>
      </c>
      <c r="N47" s="35" t="str">
        <f t="shared" si="0"/>
        <v>Médio</v>
      </c>
      <c r="O47" s="35" t="str">
        <f t="shared" si="1"/>
        <v>Passa</v>
      </c>
      <c r="P47" s="35" t="str">
        <f t="shared" si="2"/>
        <v>Passa</v>
      </c>
      <c r="Q47" s="38">
        <f>IF(AND(O47="Negada",P47="Negada"),0,IF(A47="Ativo",M47*0.08,0))</f>
        <v>4000</v>
      </c>
    </row>
    <row r="48" spans="1:17" ht="15.75" customHeight="1">
      <c r="A48" s="35" t="s">
        <v>77</v>
      </c>
      <c r="B48" s="35" t="s">
        <v>195</v>
      </c>
      <c r="C48" s="35" t="s">
        <v>196</v>
      </c>
      <c r="D48" s="35" t="str">
        <f t="shared" si="3"/>
        <v>000.000.215-00</v>
      </c>
      <c r="E48" s="36">
        <v>35887</v>
      </c>
      <c r="F48" s="37">
        <v>28</v>
      </c>
      <c r="G48" s="35" t="s">
        <v>197</v>
      </c>
      <c r="H48" s="35" t="s">
        <v>89</v>
      </c>
      <c r="I48" s="38">
        <v>2000</v>
      </c>
      <c r="J48" s="38">
        <v>51000</v>
      </c>
      <c r="K48" s="35" t="s">
        <v>49</v>
      </c>
      <c r="L48" s="37">
        <v>12</v>
      </c>
      <c r="M48" s="38">
        <v>72500</v>
      </c>
      <c r="N48" s="35" t="str">
        <f t="shared" si="0"/>
        <v>Médio</v>
      </c>
      <c r="O48" s="35" t="str">
        <f t="shared" si="1"/>
        <v>Passa</v>
      </c>
      <c r="P48" s="35" t="str">
        <f t="shared" si="2"/>
        <v>Passa</v>
      </c>
      <c r="Q48" s="38">
        <f>IF(AND(O48="Negada",P48="Negada"),0,IF(A48="Ativo",M48*0.08,0))</f>
        <v>5800</v>
      </c>
    </row>
    <row r="49" spans="1:17" ht="15.75" customHeight="1">
      <c r="A49" s="35" t="s">
        <v>77</v>
      </c>
      <c r="B49" s="35" t="s">
        <v>198</v>
      </c>
      <c r="C49" s="35" t="s">
        <v>199</v>
      </c>
      <c r="D49" s="35" t="str">
        <f t="shared" si="3"/>
        <v>000.000.108-00</v>
      </c>
      <c r="E49" s="36">
        <v>31766</v>
      </c>
      <c r="F49" s="37">
        <v>39</v>
      </c>
      <c r="G49" s="35" t="s">
        <v>133</v>
      </c>
      <c r="H49" s="35" t="s">
        <v>134</v>
      </c>
      <c r="I49" s="38">
        <v>24700</v>
      </c>
      <c r="J49" s="38">
        <v>23500</v>
      </c>
      <c r="K49" s="35" t="s">
        <v>49</v>
      </c>
      <c r="L49" s="37">
        <v>43</v>
      </c>
      <c r="M49" s="38">
        <v>57000</v>
      </c>
      <c r="N49" s="35" t="str">
        <f t="shared" si="0"/>
        <v>Alto</v>
      </c>
      <c r="O49" s="35" t="str">
        <f t="shared" si="1"/>
        <v>Passa</v>
      </c>
      <c r="P49" s="35" t="str">
        <f t="shared" si="2"/>
        <v>Passa</v>
      </c>
      <c r="Q49" s="38">
        <f>IF(AND(O49="Negada",P49="Negada"),0,IF(A49="Ativo",M49*0.08,0))</f>
        <v>4560</v>
      </c>
    </row>
    <row r="50" spans="1:17" ht="15.75" customHeight="1">
      <c r="A50" s="35" t="s">
        <v>77</v>
      </c>
      <c r="B50" s="35" t="s">
        <v>200</v>
      </c>
      <c r="C50" s="35" t="s">
        <v>201</v>
      </c>
      <c r="D50" s="35" t="str">
        <f t="shared" si="3"/>
        <v>000.000.150-00</v>
      </c>
      <c r="E50" s="36">
        <v>19588</v>
      </c>
      <c r="F50" s="37">
        <v>73</v>
      </c>
      <c r="G50" s="35" t="s">
        <v>146</v>
      </c>
      <c r="H50" s="35" t="s">
        <v>128</v>
      </c>
      <c r="I50" s="38">
        <v>28600</v>
      </c>
      <c r="J50" s="38">
        <v>40500</v>
      </c>
      <c r="K50" s="35" t="s">
        <v>49</v>
      </c>
      <c r="L50" s="37">
        <v>20</v>
      </c>
      <c r="M50" s="38">
        <v>2500</v>
      </c>
      <c r="N50" s="35" t="str">
        <f t="shared" si="0"/>
        <v>Médio</v>
      </c>
      <c r="O50" s="35" t="str">
        <f t="shared" si="1"/>
        <v>Passa</v>
      </c>
      <c r="P50" s="35" t="str">
        <f t="shared" si="2"/>
        <v>Passa</v>
      </c>
      <c r="Q50" s="38">
        <f>IF(AND(O50="Negada",P50="Negada"),0,IF(A50="Ativo",M50*0.08,0))</f>
        <v>200</v>
      </c>
    </row>
    <row r="51" spans="1:17" ht="15.75" customHeight="1">
      <c r="A51" s="35" t="s">
        <v>77</v>
      </c>
      <c r="B51" s="35" t="s">
        <v>202</v>
      </c>
      <c r="C51" s="35" t="s">
        <v>203</v>
      </c>
      <c r="D51" s="35" t="str">
        <f t="shared" si="3"/>
        <v>000.000.284-00</v>
      </c>
      <c r="E51" s="36">
        <v>30662</v>
      </c>
      <c r="F51" s="37">
        <v>42</v>
      </c>
      <c r="G51" s="35" t="s">
        <v>127</v>
      </c>
      <c r="H51" s="35" t="s">
        <v>128</v>
      </c>
      <c r="I51" s="38">
        <v>20400</v>
      </c>
      <c r="J51" s="38">
        <v>0</v>
      </c>
      <c r="K51" s="35" t="s">
        <v>49</v>
      </c>
      <c r="L51" s="37">
        <v>0</v>
      </c>
      <c r="M51" s="38">
        <v>81000</v>
      </c>
      <c r="N51" s="35" t="str">
        <f t="shared" si="0"/>
        <v>Baixo</v>
      </c>
      <c r="O51" s="35" t="str">
        <f t="shared" si="1"/>
        <v>Passa</v>
      </c>
      <c r="P51" s="35" t="str">
        <f t="shared" si="2"/>
        <v>Passa</v>
      </c>
      <c r="Q51" s="38">
        <f>IF(AND(O51="Negada",P51="Negada"),0,IF(A51="Ativo",M51*0.08,0))</f>
        <v>6480</v>
      </c>
    </row>
    <row r="52" spans="1:17" ht="15.75" customHeight="1">
      <c r="A52" s="35" t="s">
        <v>77</v>
      </c>
      <c r="B52" s="35" t="s">
        <v>204</v>
      </c>
      <c r="C52" s="35" t="s">
        <v>205</v>
      </c>
      <c r="D52" s="35" t="str">
        <f t="shared" si="3"/>
        <v>000.000.288-00</v>
      </c>
      <c r="E52" s="36">
        <v>28430</v>
      </c>
      <c r="F52" s="37">
        <v>48</v>
      </c>
      <c r="G52" s="35" t="s">
        <v>92</v>
      </c>
      <c r="H52" s="35" t="s">
        <v>93</v>
      </c>
      <c r="I52" s="38">
        <v>4500</v>
      </c>
      <c r="J52" s="38">
        <v>0</v>
      </c>
      <c r="K52" s="35" t="s">
        <v>49</v>
      </c>
      <c r="L52" s="37">
        <v>3</v>
      </c>
      <c r="M52" s="38">
        <v>48500</v>
      </c>
      <c r="N52" s="35" t="str">
        <f t="shared" si="0"/>
        <v>Baixo</v>
      </c>
      <c r="O52" s="35" t="str">
        <f t="shared" si="1"/>
        <v>Passa</v>
      </c>
      <c r="P52" s="35" t="str">
        <f t="shared" si="2"/>
        <v>Passa</v>
      </c>
      <c r="Q52" s="38">
        <f>IF(AND(O52="Negada",P52="Negada"),0,IF(A52="Ativo",M52*0.08,0))</f>
        <v>3880</v>
      </c>
    </row>
    <row r="53" spans="1:17" ht="15.75" customHeight="1">
      <c r="A53" s="35" t="s">
        <v>82</v>
      </c>
      <c r="B53" s="35" t="s">
        <v>90</v>
      </c>
      <c r="C53" s="35" t="s">
        <v>206</v>
      </c>
      <c r="D53" s="35" t="str">
        <f t="shared" si="3"/>
        <v>000.000.294-00</v>
      </c>
      <c r="E53" s="36">
        <v>31693</v>
      </c>
      <c r="F53" s="37">
        <v>39</v>
      </c>
      <c r="G53" s="35" t="s">
        <v>98</v>
      </c>
      <c r="H53" s="35" t="s">
        <v>99</v>
      </c>
      <c r="I53" s="38">
        <v>22200</v>
      </c>
      <c r="J53" s="38">
        <v>0</v>
      </c>
      <c r="K53" s="35" t="s">
        <v>50</v>
      </c>
      <c r="L53" s="37">
        <v>3</v>
      </c>
      <c r="M53" s="38">
        <v>7000</v>
      </c>
      <c r="N53" s="35" t="str">
        <f t="shared" si="0"/>
        <v>Baixo</v>
      </c>
      <c r="O53" s="35" t="str">
        <f t="shared" si="1"/>
        <v>Passa</v>
      </c>
      <c r="P53" s="35" t="str">
        <f t="shared" si="2"/>
        <v>Passa</v>
      </c>
      <c r="Q53" s="38">
        <f>IF(AND(O53="Negada",P53="Negada"),0,IF(A53="Ativo",M53*0.08,0))</f>
        <v>0</v>
      </c>
    </row>
    <row r="54" spans="1:17" ht="15.75" customHeight="1">
      <c r="A54" s="35" t="s">
        <v>77</v>
      </c>
      <c r="B54" s="35" t="s">
        <v>207</v>
      </c>
      <c r="C54" s="35" t="s">
        <v>208</v>
      </c>
      <c r="D54" s="35" t="str">
        <f t="shared" si="3"/>
        <v>000.000.338-00</v>
      </c>
      <c r="E54" s="36">
        <v>25525</v>
      </c>
      <c r="F54" s="37">
        <v>56</v>
      </c>
      <c r="G54" s="35" t="s">
        <v>165</v>
      </c>
      <c r="H54" s="35" t="s">
        <v>165</v>
      </c>
      <c r="I54" s="38">
        <v>11100</v>
      </c>
      <c r="J54" s="38">
        <v>63000</v>
      </c>
      <c r="K54" s="35" t="s">
        <v>49</v>
      </c>
      <c r="L54" s="37">
        <v>0</v>
      </c>
      <c r="M54" s="38">
        <v>56000</v>
      </c>
      <c r="N54" s="35" t="str">
        <f t="shared" si="0"/>
        <v>Baixo</v>
      </c>
      <c r="O54" s="35" t="str">
        <f t="shared" si="1"/>
        <v>Passa</v>
      </c>
      <c r="P54" s="35" t="str">
        <f t="shared" si="2"/>
        <v>Passa</v>
      </c>
      <c r="Q54" s="38">
        <f>IF(AND(O54="Negada",P54="Negada"),0,IF(A54="Ativo",M54*0.08,0))</f>
        <v>4480</v>
      </c>
    </row>
    <row r="55" spans="1:17" ht="15.75" customHeight="1">
      <c r="A55" s="35" t="s">
        <v>77</v>
      </c>
      <c r="B55" s="35" t="s">
        <v>209</v>
      </c>
      <c r="C55" s="35" t="s">
        <v>210</v>
      </c>
      <c r="D55" s="35" t="str">
        <f t="shared" si="3"/>
        <v>000.000.142-00</v>
      </c>
      <c r="E55" s="36">
        <v>28681</v>
      </c>
      <c r="F55" s="37">
        <v>48</v>
      </c>
      <c r="G55" s="35" t="s">
        <v>165</v>
      </c>
      <c r="H55" s="35" t="s">
        <v>165</v>
      </c>
      <c r="I55" s="38">
        <v>15800</v>
      </c>
      <c r="J55" s="38"/>
      <c r="K55" s="35" t="s">
        <v>49</v>
      </c>
      <c r="L55" s="37">
        <v>12</v>
      </c>
      <c r="M55" s="38">
        <v>69500</v>
      </c>
      <c r="N55" s="35" t="str">
        <f t="shared" si="0"/>
        <v>Médio</v>
      </c>
      <c r="O55" s="35" t="str">
        <f t="shared" si="1"/>
        <v>Passa</v>
      </c>
      <c r="P55" s="35" t="str">
        <f t="shared" si="2"/>
        <v>Passa</v>
      </c>
      <c r="Q55" s="38">
        <f>IF(AND(O55="Negada",P55="Negada"),0,IF(A55="Ativo",M55*0.08,0))</f>
        <v>5560</v>
      </c>
    </row>
    <row r="56" spans="1:17" ht="15.75" customHeight="1">
      <c r="A56" s="35" t="s">
        <v>77</v>
      </c>
      <c r="B56" s="35" t="s">
        <v>211</v>
      </c>
      <c r="C56" s="35" t="s">
        <v>212</v>
      </c>
      <c r="D56" s="35" t="str">
        <f t="shared" si="3"/>
        <v>000.000.195-00</v>
      </c>
      <c r="E56" s="36">
        <v>20570</v>
      </c>
      <c r="F56" s="37">
        <v>70</v>
      </c>
      <c r="G56" s="35" t="s">
        <v>114</v>
      </c>
      <c r="H56" s="35" t="s">
        <v>109</v>
      </c>
      <c r="I56" s="38">
        <v>16300</v>
      </c>
      <c r="J56" s="38">
        <v>16500</v>
      </c>
      <c r="K56" s="35" t="s">
        <v>49</v>
      </c>
      <c r="L56" s="37">
        <v>25</v>
      </c>
      <c r="M56" s="38">
        <v>65500</v>
      </c>
      <c r="N56" s="35" t="str">
        <f t="shared" si="0"/>
        <v>Médio</v>
      </c>
      <c r="O56" s="35" t="str">
        <f t="shared" si="1"/>
        <v>Passa</v>
      </c>
      <c r="P56" s="35" t="str">
        <f t="shared" si="2"/>
        <v>Passa</v>
      </c>
      <c r="Q56" s="38">
        <f>IF(AND(O56="Negada",P56="Negada"),0,IF(A56="Ativo",M56*0.08,0))</f>
        <v>5240</v>
      </c>
    </row>
    <row r="57" spans="1:17" ht="15.75" customHeight="1">
      <c r="A57" s="35" t="s">
        <v>77</v>
      </c>
      <c r="B57" s="35" t="s">
        <v>213</v>
      </c>
      <c r="C57" s="35" t="s">
        <v>214</v>
      </c>
      <c r="D57" s="35" t="str">
        <f t="shared" si="3"/>
        <v>000.000.066-00</v>
      </c>
      <c r="E57" s="36">
        <v>37435</v>
      </c>
      <c r="F57" s="37">
        <v>24</v>
      </c>
      <c r="G57" s="35" t="s">
        <v>215</v>
      </c>
      <c r="H57" s="35" t="s">
        <v>216</v>
      </c>
      <c r="I57" s="38">
        <v>6100</v>
      </c>
      <c r="J57" s="38"/>
      <c r="K57" s="35" t="s">
        <v>49</v>
      </c>
      <c r="L57" s="37">
        <v>15</v>
      </c>
      <c r="M57" s="38">
        <v>67000</v>
      </c>
      <c r="N57" s="35" t="str">
        <f t="shared" si="0"/>
        <v>Médio</v>
      </c>
      <c r="O57" s="35" t="str">
        <f t="shared" si="1"/>
        <v>Passa</v>
      </c>
      <c r="P57" s="35" t="str">
        <f t="shared" si="2"/>
        <v>Passa</v>
      </c>
      <c r="Q57" s="38">
        <f>IF(AND(O57="Negada",P57="Negada"),0,IF(A57="Ativo",M57*0.08,0))</f>
        <v>5360</v>
      </c>
    </row>
    <row r="58" spans="1:17" ht="15.75" customHeight="1">
      <c r="A58" s="35" t="s">
        <v>77</v>
      </c>
      <c r="B58" s="35" t="s">
        <v>217</v>
      </c>
      <c r="C58" s="35" t="s">
        <v>218</v>
      </c>
      <c r="D58" s="35" t="str">
        <f t="shared" si="3"/>
        <v>000.000.309-00</v>
      </c>
      <c r="E58" s="36">
        <v>28802</v>
      </c>
      <c r="F58" s="37">
        <v>47</v>
      </c>
      <c r="G58" s="35" t="s">
        <v>215</v>
      </c>
      <c r="H58" s="35" t="s">
        <v>216</v>
      </c>
      <c r="I58" s="38">
        <v>22700</v>
      </c>
      <c r="J58" s="38">
        <v>8500</v>
      </c>
      <c r="K58" s="35"/>
      <c r="L58" s="37">
        <v>35</v>
      </c>
      <c r="M58" s="38">
        <v>23500</v>
      </c>
      <c r="N58" s="35" t="str">
        <f t="shared" si="0"/>
        <v>Alto</v>
      </c>
      <c r="O58" s="35" t="str">
        <f t="shared" si="1"/>
        <v>Passa</v>
      </c>
      <c r="P58" s="35" t="str">
        <f t="shared" si="2"/>
        <v>Passa</v>
      </c>
      <c r="Q58" s="38">
        <f>IF(AND(O58="Negada",P58="Negada"),0,IF(A58="Ativo",M58*0.08,0))</f>
        <v>1880</v>
      </c>
    </row>
    <row r="59" spans="1:17" ht="15.75" customHeight="1">
      <c r="A59" s="35" t="s">
        <v>77</v>
      </c>
      <c r="B59" s="35" t="s">
        <v>219</v>
      </c>
      <c r="C59" s="35" t="s">
        <v>220</v>
      </c>
      <c r="D59" s="35" t="str">
        <f t="shared" si="3"/>
        <v>000.000.270-00</v>
      </c>
      <c r="E59" s="36">
        <v>33881</v>
      </c>
      <c r="F59" s="37">
        <v>33</v>
      </c>
      <c r="G59" s="35" t="s">
        <v>127</v>
      </c>
      <c r="H59" s="35" t="s">
        <v>128</v>
      </c>
      <c r="I59" s="38">
        <v>29700</v>
      </c>
      <c r="J59" s="38">
        <v>22000</v>
      </c>
      <c r="K59" s="35" t="s">
        <v>49</v>
      </c>
      <c r="L59" s="37">
        <v>38</v>
      </c>
      <c r="M59" s="38">
        <v>81000</v>
      </c>
      <c r="N59" s="35" t="str">
        <f t="shared" si="0"/>
        <v>Alto</v>
      </c>
      <c r="O59" s="35" t="str">
        <f t="shared" si="1"/>
        <v>Passa</v>
      </c>
      <c r="P59" s="35" t="str">
        <f t="shared" si="2"/>
        <v>Passa</v>
      </c>
      <c r="Q59" s="38">
        <f>IF(AND(O59="Negada",P59="Negada"),0,IF(A59="Ativo",M59*0.08,0))</f>
        <v>6480</v>
      </c>
    </row>
    <row r="60" spans="1:17" ht="15.75" customHeight="1">
      <c r="A60" s="35" t="s">
        <v>82</v>
      </c>
      <c r="B60" s="35" t="s">
        <v>221</v>
      </c>
      <c r="C60" s="35" t="s">
        <v>222</v>
      </c>
      <c r="D60" s="35" t="str">
        <f t="shared" si="3"/>
        <v>000.000.194-00</v>
      </c>
      <c r="E60" s="36">
        <v>32102</v>
      </c>
      <c r="F60" s="37">
        <v>38</v>
      </c>
      <c r="G60" s="35" t="s">
        <v>92</v>
      </c>
      <c r="H60" s="35" t="s">
        <v>93</v>
      </c>
      <c r="I60" s="38">
        <v>13500</v>
      </c>
      <c r="J60" s="38">
        <v>24000</v>
      </c>
      <c r="K60" s="35" t="s">
        <v>49</v>
      </c>
      <c r="L60" s="37">
        <v>2</v>
      </c>
      <c r="M60" s="38">
        <v>17500</v>
      </c>
      <c r="N60" s="35" t="str">
        <f t="shared" si="0"/>
        <v>Baixo</v>
      </c>
      <c r="O60" s="35" t="str">
        <f t="shared" si="1"/>
        <v>Passa</v>
      </c>
      <c r="P60" s="35" t="str">
        <f t="shared" si="2"/>
        <v>Passa</v>
      </c>
      <c r="Q60" s="38">
        <f>IF(AND(O60="Negada",P60="Negada"),0,IF(A60="Ativo",M60*0.08,0))</f>
        <v>0</v>
      </c>
    </row>
    <row r="61" spans="1:17" ht="15.75" customHeight="1">
      <c r="A61" s="35" t="s">
        <v>82</v>
      </c>
      <c r="B61" s="35" t="s">
        <v>223</v>
      </c>
      <c r="C61" s="35" t="s">
        <v>224</v>
      </c>
      <c r="D61" s="35" t="str">
        <f t="shared" si="3"/>
        <v>000.000.034-00</v>
      </c>
      <c r="E61" s="36">
        <v>33204</v>
      </c>
      <c r="F61" s="37">
        <v>35</v>
      </c>
      <c r="G61" s="35" t="s">
        <v>153</v>
      </c>
      <c r="H61" s="35" t="s">
        <v>128</v>
      </c>
      <c r="I61" s="38">
        <v>17600</v>
      </c>
      <c r="J61" s="38">
        <v>44000</v>
      </c>
      <c r="K61" s="35" t="s">
        <v>49</v>
      </c>
      <c r="L61" s="37">
        <v>22</v>
      </c>
      <c r="M61" s="38">
        <v>56500</v>
      </c>
      <c r="N61" s="35" t="str">
        <f t="shared" si="0"/>
        <v>Médio</v>
      </c>
      <c r="O61" s="35" t="str">
        <f t="shared" si="1"/>
        <v>Passa</v>
      </c>
      <c r="P61" s="35" t="str">
        <f t="shared" si="2"/>
        <v>Passa</v>
      </c>
      <c r="Q61" s="38">
        <f>IF(AND(O61="Negada",P61="Negada"),0,IF(A61="Ativo",M61*0.08,0))</f>
        <v>0</v>
      </c>
    </row>
    <row r="62" spans="1:17" ht="15.75" customHeight="1">
      <c r="A62" s="35" t="s">
        <v>82</v>
      </c>
      <c r="B62" s="35" t="s">
        <v>225</v>
      </c>
      <c r="C62" s="35" t="s">
        <v>226</v>
      </c>
      <c r="D62" s="35" t="str">
        <f t="shared" si="3"/>
        <v>000.000.026-00</v>
      </c>
      <c r="E62" s="36">
        <v>21512</v>
      </c>
      <c r="F62" s="37">
        <v>67</v>
      </c>
      <c r="G62" s="35" t="s">
        <v>114</v>
      </c>
      <c r="H62" s="35" t="s">
        <v>109</v>
      </c>
      <c r="I62" s="38">
        <v>3200</v>
      </c>
      <c r="J62" s="38">
        <v>6500</v>
      </c>
      <c r="K62" s="35" t="s">
        <v>49</v>
      </c>
      <c r="L62" s="37">
        <v>20</v>
      </c>
      <c r="M62" s="38">
        <v>52500</v>
      </c>
      <c r="N62" s="35" t="str">
        <f t="shared" si="0"/>
        <v>Médio</v>
      </c>
      <c r="O62" s="35" t="str">
        <f t="shared" si="1"/>
        <v>Passa</v>
      </c>
      <c r="P62" s="35" t="str">
        <f t="shared" si="2"/>
        <v>Passa</v>
      </c>
      <c r="Q62" s="38">
        <f>IF(AND(O62="Negada",P62="Negada"),0,IF(A62="Ativo",M62*0.08,0))</f>
        <v>0</v>
      </c>
    </row>
    <row r="63" spans="1:17" ht="15.75" customHeight="1">
      <c r="A63" s="35" t="s">
        <v>77</v>
      </c>
      <c r="B63" s="35" t="s">
        <v>227</v>
      </c>
      <c r="C63" s="35" t="s">
        <v>228</v>
      </c>
      <c r="D63" s="35" t="str">
        <f t="shared" si="3"/>
        <v>000.000.251-00</v>
      </c>
      <c r="E63" s="36">
        <v>27377</v>
      </c>
      <c r="F63" s="37">
        <v>51</v>
      </c>
      <c r="G63" s="35" t="s">
        <v>92</v>
      </c>
      <c r="H63" s="35" t="s">
        <v>93</v>
      </c>
      <c r="I63" s="38">
        <v>16300</v>
      </c>
      <c r="J63" s="38"/>
      <c r="K63" s="35" t="s">
        <v>49</v>
      </c>
      <c r="L63" s="37">
        <v>8</v>
      </c>
      <c r="M63" s="38">
        <v>33000</v>
      </c>
      <c r="N63" s="35" t="str">
        <f t="shared" si="0"/>
        <v>Baixo</v>
      </c>
      <c r="O63" s="35" t="str">
        <f t="shared" si="1"/>
        <v>Passa</v>
      </c>
      <c r="P63" s="35" t="str">
        <f t="shared" si="2"/>
        <v>Passa</v>
      </c>
      <c r="Q63" s="38">
        <f>IF(AND(O63="Negada",P63="Negada"),0,IF(A63="Ativo",M63*0.08,0))</f>
        <v>2640</v>
      </c>
    </row>
    <row r="64" spans="1:17" ht="15.75" customHeight="1">
      <c r="A64" s="35" t="s">
        <v>82</v>
      </c>
      <c r="B64" s="35" t="s">
        <v>229</v>
      </c>
      <c r="C64" s="35" t="s">
        <v>230</v>
      </c>
      <c r="D64" s="35" t="str">
        <f t="shared" si="3"/>
        <v>000.000.014-00</v>
      </c>
      <c r="E64" s="36">
        <v>29113</v>
      </c>
      <c r="F64" s="37">
        <v>46</v>
      </c>
      <c r="G64" s="35" t="s">
        <v>146</v>
      </c>
      <c r="H64" s="35" t="s">
        <v>128</v>
      </c>
      <c r="I64" s="38">
        <v>15000</v>
      </c>
      <c r="J64" s="38">
        <v>32500</v>
      </c>
      <c r="K64" s="35" t="s">
        <v>49</v>
      </c>
      <c r="L64" s="37">
        <v>40</v>
      </c>
      <c r="M64" s="38">
        <v>4500</v>
      </c>
      <c r="N64" s="35" t="str">
        <f t="shared" si="0"/>
        <v>Alto</v>
      </c>
      <c r="O64" s="35" t="str">
        <f t="shared" si="1"/>
        <v>Passa</v>
      </c>
      <c r="P64" s="35" t="str">
        <f t="shared" si="2"/>
        <v>Passa</v>
      </c>
      <c r="Q64" s="38">
        <f>IF(AND(O64="Negada",P64="Negada"),0,IF(A64="Ativo",M64*0.08,0))</f>
        <v>0</v>
      </c>
    </row>
    <row r="65" spans="1:17" ht="15.75" customHeight="1">
      <c r="A65" s="35" t="s">
        <v>77</v>
      </c>
      <c r="B65" s="35" t="s">
        <v>231</v>
      </c>
      <c r="C65" s="35" t="s">
        <v>232</v>
      </c>
      <c r="D65" s="35" t="str">
        <f t="shared" si="3"/>
        <v>000.000.239-00</v>
      </c>
      <c r="E65" s="36">
        <v>31740</v>
      </c>
      <c r="F65" s="37">
        <v>39</v>
      </c>
      <c r="G65" s="35" t="s">
        <v>92</v>
      </c>
      <c r="H65" s="35" t="s">
        <v>93</v>
      </c>
      <c r="I65" s="38">
        <v>13200</v>
      </c>
      <c r="J65" s="38"/>
      <c r="K65" s="35" t="s">
        <v>49</v>
      </c>
      <c r="L65" s="37">
        <v>38</v>
      </c>
      <c r="M65" s="38">
        <v>36000</v>
      </c>
      <c r="N65" s="35" t="str">
        <f t="shared" si="0"/>
        <v>Alto</v>
      </c>
      <c r="O65" s="35" t="str">
        <f t="shared" si="1"/>
        <v>Passa</v>
      </c>
      <c r="P65" s="35" t="str">
        <f t="shared" si="2"/>
        <v>Passa</v>
      </c>
      <c r="Q65" s="38">
        <f>IF(AND(O65="Negada",P65="Negada"),0,IF(A65="Ativo",M65*0.08,0))</f>
        <v>2880</v>
      </c>
    </row>
    <row r="66" spans="1:17" ht="15.75" customHeight="1">
      <c r="A66" s="35" t="s">
        <v>77</v>
      </c>
      <c r="B66" s="35" t="s">
        <v>233</v>
      </c>
      <c r="C66" s="35" t="s">
        <v>234</v>
      </c>
      <c r="D66" s="35" t="str">
        <f t="shared" si="3"/>
        <v>000.000.133-00</v>
      </c>
      <c r="E66" s="36">
        <v>37172</v>
      </c>
      <c r="F66" s="37">
        <v>24</v>
      </c>
      <c r="G66" s="35" t="s">
        <v>80</v>
      </c>
      <c r="H66" s="35" t="s">
        <v>81</v>
      </c>
      <c r="I66" s="38">
        <v>21600</v>
      </c>
      <c r="J66" s="38">
        <v>25000</v>
      </c>
      <c r="K66" s="35" t="s">
        <v>49</v>
      </c>
      <c r="L66" s="37">
        <v>33</v>
      </c>
      <c r="M66" s="38">
        <v>17500</v>
      </c>
      <c r="N66" s="35" t="str">
        <f t="shared" si="0"/>
        <v>Alto</v>
      </c>
      <c r="O66" s="35" t="str">
        <f t="shared" si="1"/>
        <v>Passa</v>
      </c>
      <c r="P66" s="35" t="str">
        <f t="shared" si="2"/>
        <v>Passa</v>
      </c>
      <c r="Q66" s="38">
        <f>IF(AND(O66="Negada",P66="Negada"),0,IF(A66="Ativo",M66*0.08,0))</f>
        <v>1400</v>
      </c>
    </row>
    <row r="67" spans="1:17" ht="15.75" customHeight="1">
      <c r="A67" s="35" t="s">
        <v>77</v>
      </c>
      <c r="B67" s="35" t="s">
        <v>235</v>
      </c>
      <c r="C67" s="35" t="s">
        <v>236</v>
      </c>
      <c r="D67" s="35" t="str">
        <f t="shared" ref="D67:D130" si="4">TEXT(C67,"000\.000\.000\-00")</f>
        <v>000.000.161-00</v>
      </c>
      <c r="E67" s="36"/>
      <c r="F67" s="37">
        <v>57</v>
      </c>
      <c r="G67" s="35" t="s">
        <v>98</v>
      </c>
      <c r="H67" s="35" t="s">
        <v>99</v>
      </c>
      <c r="I67" s="42"/>
      <c r="J67" s="38"/>
      <c r="K67" s="35" t="s">
        <v>50</v>
      </c>
      <c r="L67" s="37">
        <v>28</v>
      </c>
      <c r="M67" s="38">
        <v>13000</v>
      </c>
      <c r="N67" s="35" t="str">
        <f t="shared" si="0"/>
        <v>Alto</v>
      </c>
      <c r="O67" s="35" t="str">
        <f t="shared" si="1"/>
        <v>Negada</v>
      </c>
      <c r="P67" s="35" t="str">
        <f t="shared" si="2"/>
        <v>Passa</v>
      </c>
      <c r="Q67" s="38">
        <f>IF(AND(O67="Negada",P67="Negada"),0,IF(A67="Ativo",M67*0.08,0))</f>
        <v>1040</v>
      </c>
    </row>
    <row r="68" spans="1:17" ht="15.75" customHeight="1">
      <c r="A68" s="35" t="s">
        <v>77</v>
      </c>
      <c r="B68" s="35" t="s">
        <v>237</v>
      </c>
      <c r="C68" s="35" t="s">
        <v>238</v>
      </c>
      <c r="D68" s="35" t="str">
        <f t="shared" si="4"/>
        <v>000.000.063-00</v>
      </c>
      <c r="E68" s="36"/>
      <c r="F68" s="37">
        <v>68</v>
      </c>
      <c r="G68" s="35" t="s">
        <v>88</v>
      </c>
      <c r="H68" s="35" t="s">
        <v>89</v>
      </c>
      <c r="I68" s="38">
        <v>19900</v>
      </c>
      <c r="J68" s="38">
        <v>35000</v>
      </c>
      <c r="K68" s="35" t="s">
        <v>49</v>
      </c>
      <c r="L68" s="37">
        <v>25</v>
      </c>
      <c r="M68" s="38">
        <v>59500</v>
      </c>
      <c r="N68" s="35" t="str">
        <f t="shared" si="0"/>
        <v>Médio</v>
      </c>
      <c r="O68" s="35" t="str">
        <f t="shared" si="1"/>
        <v>Passa</v>
      </c>
      <c r="P68" s="35" t="str">
        <f t="shared" si="2"/>
        <v>Passa</v>
      </c>
      <c r="Q68" s="38">
        <f>IF(AND(O68="Negada",P68="Negada"),0,IF(A68="Ativo",M68*0.08,0))</f>
        <v>4760</v>
      </c>
    </row>
    <row r="69" spans="1:17" ht="15.75" customHeight="1">
      <c r="A69" s="35" t="s">
        <v>77</v>
      </c>
      <c r="B69" s="35" t="s">
        <v>239</v>
      </c>
      <c r="C69" s="35" t="s">
        <v>240</v>
      </c>
      <c r="D69" s="35" t="str">
        <f t="shared" si="4"/>
        <v>000.000.272-00</v>
      </c>
      <c r="E69" s="36">
        <v>25710</v>
      </c>
      <c r="F69" s="37">
        <v>56</v>
      </c>
      <c r="G69" s="35" t="s">
        <v>146</v>
      </c>
      <c r="H69" s="35" t="s">
        <v>128</v>
      </c>
      <c r="I69" s="38">
        <v>14100</v>
      </c>
      <c r="J69" s="38">
        <v>1500</v>
      </c>
      <c r="K69" s="35" t="s">
        <v>49</v>
      </c>
      <c r="L69" s="37">
        <v>26</v>
      </c>
      <c r="M69" s="38">
        <v>36000</v>
      </c>
      <c r="N69" s="35" t="str">
        <f t="shared" si="0"/>
        <v>Alto</v>
      </c>
      <c r="O69" s="35" t="str">
        <f t="shared" si="1"/>
        <v>Passa</v>
      </c>
      <c r="P69" s="35" t="str">
        <f t="shared" si="2"/>
        <v>Passa</v>
      </c>
      <c r="Q69" s="38">
        <f>IF(AND(O69="Negada",P69="Negada"),0,IF(A69="Ativo",M69*0.08,0))</f>
        <v>2880</v>
      </c>
    </row>
    <row r="70" spans="1:17" ht="15.75" customHeight="1">
      <c r="A70" s="35" t="s">
        <v>77</v>
      </c>
      <c r="B70" s="35" t="s">
        <v>241</v>
      </c>
      <c r="C70" s="35" t="s">
        <v>242</v>
      </c>
      <c r="D70" s="35" t="str">
        <f t="shared" si="4"/>
        <v>000.000.030-00</v>
      </c>
      <c r="E70" s="36">
        <v>34027</v>
      </c>
      <c r="F70" s="37">
        <v>33</v>
      </c>
      <c r="G70" s="35" t="s">
        <v>114</v>
      </c>
      <c r="H70" s="35" t="s">
        <v>109</v>
      </c>
      <c r="I70" s="38">
        <v>3400</v>
      </c>
      <c r="J70" s="38">
        <v>0</v>
      </c>
      <c r="K70" s="35" t="s">
        <v>49</v>
      </c>
      <c r="L70" s="37">
        <v>13</v>
      </c>
      <c r="M70" s="38">
        <v>70000</v>
      </c>
      <c r="N70" s="35" t="str">
        <f t="shared" si="0"/>
        <v>Médio</v>
      </c>
      <c r="O70" s="35" t="str">
        <f t="shared" si="1"/>
        <v>Passa</v>
      </c>
      <c r="P70" s="35" t="str">
        <f t="shared" si="2"/>
        <v>Passa</v>
      </c>
      <c r="Q70" s="38">
        <f>IF(AND(O70="Negada",P70="Negada"),0,IF(A70="Ativo",M70*0.08,0))</f>
        <v>5600</v>
      </c>
    </row>
    <row r="71" spans="1:17" ht="15.75" customHeight="1">
      <c r="A71" s="35" t="s">
        <v>77</v>
      </c>
      <c r="B71" s="35" t="s">
        <v>243</v>
      </c>
      <c r="C71" s="35" t="s">
        <v>244</v>
      </c>
      <c r="D71" s="35" t="str">
        <f t="shared" si="4"/>
        <v>000.000.136-00</v>
      </c>
      <c r="E71" s="36">
        <v>30944</v>
      </c>
      <c r="F71" s="37">
        <v>41</v>
      </c>
      <c r="G71" s="35" t="s">
        <v>84</v>
      </c>
      <c r="H71" s="35" t="s">
        <v>85</v>
      </c>
      <c r="I71" s="38">
        <v>20000</v>
      </c>
      <c r="J71" s="38">
        <v>20500</v>
      </c>
      <c r="K71" s="35" t="s">
        <v>50</v>
      </c>
      <c r="L71" s="37">
        <v>8</v>
      </c>
      <c r="M71" s="38">
        <v>44000</v>
      </c>
      <c r="N71" s="35" t="str">
        <f t="shared" si="0"/>
        <v>Baixo</v>
      </c>
      <c r="O71" s="35" t="str">
        <f t="shared" si="1"/>
        <v>Passa</v>
      </c>
      <c r="P71" s="35" t="str">
        <f t="shared" si="2"/>
        <v>Passa</v>
      </c>
      <c r="Q71" s="38">
        <f>IF(AND(O71="Negada",P71="Negada"),0,IF(A71="Ativo",M71*0.08,0))</f>
        <v>3520</v>
      </c>
    </row>
    <row r="72" spans="1:17" ht="15.75" customHeight="1">
      <c r="A72" s="35" t="s">
        <v>77</v>
      </c>
      <c r="B72" s="35" t="s">
        <v>245</v>
      </c>
      <c r="C72" s="35" t="s">
        <v>246</v>
      </c>
      <c r="D72" s="35" t="str">
        <f t="shared" si="4"/>
        <v>000.000.135-00</v>
      </c>
      <c r="E72" s="36">
        <v>34411</v>
      </c>
      <c r="F72" s="37">
        <v>32</v>
      </c>
      <c r="G72" s="35" t="s">
        <v>165</v>
      </c>
      <c r="H72" s="35" t="s">
        <v>165</v>
      </c>
      <c r="I72" s="38"/>
      <c r="J72" s="38">
        <v>0</v>
      </c>
      <c r="K72" s="35" t="s">
        <v>49</v>
      </c>
      <c r="L72" s="37">
        <v>20</v>
      </c>
      <c r="M72" s="38">
        <v>42000</v>
      </c>
      <c r="N72" s="35" t="str">
        <f t="shared" si="0"/>
        <v>Médio</v>
      </c>
      <c r="O72" s="35" t="str">
        <f t="shared" si="1"/>
        <v>Passa</v>
      </c>
      <c r="P72" s="35" t="str">
        <f t="shared" si="2"/>
        <v>Passa</v>
      </c>
      <c r="Q72" s="38">
        <f>IF(AND(O72="Negada",P72="Negada"),0,IF(A72="Ativo",M72*0.08,0))</f>
        <v>3360</v>
      </c>
    </row>
    <row r="73" spans="1:17" ht="15.75" customHeight="1">
      <c r="A73" s="35" t="s">
        <v>77</v>
      </c>
      <c r="B73" s="35" t="s">
        <v>247</v>
      </c>
      <c r="C73" s="35" t="s">
        <v>248</v>
      </c>
      <c r="D73" s="35" t="str">
        <f t="shared" si="4"/>
        <v>000.000.372-00</v>
      </c>
      <c r="E73" s="36">
        <v>33525</v>
      </c>
      <c r="F73" s="37">
        <v>34</v>
      </c>
      <c r="G73" s="35" t="s">
        <v>153</v>
      </c>
      <c r="H73" s="35" t="s">
        <v>128</v>
      </c>
      <c r="I73" s="38">
        <v>28000</v>
      </c>
      <c r="J73" s="38">
        <v>36500</v>
      </c>
      <c r="K73" s="35" t="s">
        <v>49</v>
      </c>
      <c r="L73" s="37">
        <v>33</v>
      </c>
      <c r="M73" s="38">
        <v>60000</v>
      </c>
      <c r="N73" s="35" t="str">
        <f t="shared" si="0"/>
        <v>Alto</v>
      </c>
      <c r="O73" s="35" t="str">
        <f t="shared" si="1"/>
        <v>Passa</v>
      </c>
      <c r="P73" s="35" t="str">
        <f t="shared" si="2"/>
        <v>Passa</v>
      </c>
      <c r="Q73" s="38">
        <f>IF(AND(O73="Negada",P73="Negada"),0,IF(A73="Ativo",M73*0.08,0))</f>
        <v>4800</v>
      </c>
    </row>
    <row r="74" spans="1:17" ht="15.75" customHeight="1">
      <c r="A74" s="35" t="s">
        <v>77</v>
      </c>
      <c r="B74" s="35" t="s">
        <v>249</v>
      </c>
      <c r="C74" s="35" t="s">
        <v>250</v>
      </c>
      <c r="D74" s="35" t="str">
        <f t="shared" si="4"/>
        <v>000.000.323-00</v>
      </c>
      <c r="E74" s="36">
        <v>37259</v>
      </c>
      <c r="F74" s="37">
        <v>24</v>
      </c>
      <c r="G74" s="35" t="s">
        <v>165</v>
      </c>
      <c r="H74" s="35" t="s">
        <v>165</v>
      </c>
      <c r="I74" s="38">
        <v>25200</v>
      </c>
      <c r="J74" s="38">
        <v>0</v>
      </c>
      <c r="K74" s="35" t="s">
        <v>49</v>
      </c>
      <c r="L74" s="37">
        <v>10</v>
      </c>
      <c r="M74" s="38">
        <v>69500</v>
      </c>
      <c r="N74" s="35" t="str">
        <f t="shared" si="0"/>
        <v>Baixo</v>
      </c>
      <c r="O74" s="35" t="str">
        <f t="shared" si="1"/>
        <v>Passa</v>
      </c>
      <c r="P74" s="35" t="str">
        <f t="shared" si="2"/>
        <v>Passa</v>
      </c>
      <c r="Q74" s="38">
        <f>IF(AND(O74="Negada",P74="Negada"),0,IF(A74="Ativo",M74*0.08,0))</f>
        <v>5560</v>
      </c>
    </row>
    <row r="75" spans="1:17" ht="15.75" customHeight="1">
      <c r="A75" s="35" t="s">
        <v>77</v>
      </c>
      <c r="B75" s="35" t="s">
        <v>251</v>
      </c>
      <c r="C75" s="35" t="s">
        <v>252</v>
      </c>
      <c r="D75" s="35" t="str">
        <f t="shared" si="4"/>
        <v>000.000.067-00</v>
      </c>
      <c r="E75" s="36">
        <v>26104</v>
      </c>
      <c r="F75" s="37">
        <v>55</v>
      </c>
      <c r="G75" s="35" t="s">
        <v>92</v>
      </c>
      <c r="H75" s="35" t="s">
        <v>93</v>
      </c>
      <c r="I75" s="38">
        <v>22100</v>
      </c>
      <c r="J75" s="38">
        <v>41500</v>
      </c>
      <c r="K75" s="35" t="s">
        <v>49</v>
      </c>
      <c r="L75" s="37">
        <v>18</v>
      </c>
      <c r="M75" s="38">
        <v>65000</v>
      </c>
      <c r="N75" s="35" t="str">
        <f t="shared" si="0"/>
        <v>Médio</v>
      </c>
      <c r="O75" s="35" t="str">
        <f t="shared" si="1"/>
        <v>Passa</v>
      </c>
      <c r="P75" s="35" t="str">
        <f t="shared" si="2"/>
        <v>Passa</v>
      </c>
      <c r="Q75" s="38">
        <f>IF(AND(O75="Negada",P75="Negada"),0,IF(A75="Ativo",M75*0.08,0))</f>
        <v>5200</v>
      </c>
    </row>
    <row r="76" spans="1:17" ht="15.75" customHeight="1">
      <c r="A76" s="35" t="s">
        <v>82</v>
      </c>
      <c r="B76" s="35" t="s">
        <v>253</v>
      </c>
      <c r="C76" s="35" t="s">
        <v>254</v>
      </c>
      <c r="D76" s="35" t="str">
        <f t="shared" si="4"/>
        <v>000.000.138-00</v>
      </c>
      <c r="E76" s="36">
        <v>24512</v>
      </c>
      <c r="F76" s="37">
        <v>59</v>
      </c>
      <c r="G76" s="35" t="s">
        <v>190</v>
      </c>
      <c r="H76" s="35" t="s">
        <v>134</v>
      </c>
      <c r="I76" s="38">
        <v>6300</v>
      </c>
      <c r="J76" s="38">
        <v>15000</v>
      </c>
      <c r="K76" s="35" t="s">
        <v>49</v>
      </c>
      <c r="L76" s="37">
        <v>42</v>
      </c>
      <c r="M76" s="38">
        <v>8500</v>
      </c>
      <c r="N76" s="35" t="str">
        <f t="shared" si="0"/>
        <v>Alto</v>
      </c>
      <c r="O76" s="35" t="str">
        <f t="shared" si="1"/>
        <v>Passa</v>
      </c>
      <c r="P76" s="35" t="str">
        <f t="shared" si="2"/>
        <v>Passa</v>
      </c>
      <c r="Q76" s="38">
        <f>IF(AND(O76="Negada",P76="Negada"),0,IF(A76="Ativo",M76*0.08,0))</f>
        <v>0</v>
      </c>
    </row>
    <row r="77" spans="1:17" ht="15.75" customHeight="1">
      <c r="A77" s="35" t="s">
        <v>82</v>
      </c>
      <c r="B77" s="35" t="s">
        <v>255</v>
      </c>
      <c r="C77" s="35" t="s">
        <v>256</v>
      </c>
      <c r="D77" s="35" t="str">
        <f t="shared" si="4"/>
        <v>000.000.311-00</v>
      </c>
      <c r="E77" s="36">
        <v>20502</v>
      </c>
      <c r="F77" s="37">
        <v>70</v>
      </c>
      <c r="G77" s="35" t="s">
        <v>98</v>
      </c>
      <c r="H77" s="35" t="s">
        <v>99</v>
      </c>
      <c r="I77" s="38">
        <v>2500</v>
      </c>
      <c r="J77" s="38">
        <v>0</v>
      </c>
      <c r="K77" s="35" t="s">
        <v>49</v>
      </c>
      <c r="L77" s="37">
        <v>38</v>
      </c>
      <c r="M77" s="38">
        <v>44500</v>
      </c>
      <c r="N77" s="35" t="str">
        <f t="shared" si="0"/>
        <v>Alto</v>
      </c>
      <c r="O77" s="35" t="str">
        <f t="shared" si="1"/>
        <v>Passa</v>
      </c>
      <c r="P77" s="35" t="str">
        <f t="shared" si="2"/>
        <v>Passa</v>
      </c>
      <c r="Q77" s="38">
        <f>IF(AND(O77="Negada",P77="Negada"),0,IF(A77="Ativo",M77*0.08,0))</f>
        <v>0</v>
      </c>
    </row>
    <row r="78" spans="1:17" ht="15.75" customHeight="1">
      <c r="A78" s="35" t="s">
        <v>77</v>
      </c>
      <c r="B78" s="35" t="s">
        <v>257</v>
      </c>
      <c r="C78" s="35" t="s">
        <v>258</v>
      </c>
      <c r="D78" s="35" t="str">
        <f t="shared" si="4"/>
        <v>000.000.092-00</v>
      </c>
      <c r="E78" s="36">
        <v>32543</v>
      </c>
      <c r="F78" s="37">
        <v>37</v>
      </c>
      <c r="G78" s="35" t="s">
        <v>133</v>
      </c>
      <c r="H78" s="35" t="s">
        <v>134</v>
      </c>
      <c r="I78" s="38">
        <v>29200</v>
      </c>
      <c r="J78" s="38">
        <v>45000</v>
      </c>
      <c r="K78" s="35" t="s">
        <v>49</v>
      </c>
      <c r="L78" s="37">
        <v>26</v>
      </c>
      <c r="M78" s="38">
        <v>23500</v>
      </c>
      <c r="N78" s="35" t="str">
        <f t="shared" si="0"/>
        <v>Alto</v>
      </c>
      <c r="O78" s="35" t="str">
        <f t="shared" si="1"/>
        <v>Passa</v>
      </c>
      <c r="P78" s="35" t="str">
        <f t="shared" si="2"/>
        <v>Passa</v>
      </c>
      <c r="Q78" s="38">
        <f>IF(AND(O78="Negada",P78="Negada"),0,IF(A78="Ativo",M78*0.08,0))</f>
        <v>1880</v>
      </c>
    </row>
    <row r="79" spans="1:17" ht="15.75" customHeight="1">
      <c r="A79" s="35" t="s">
        <v>77</v>
      </c>
      <c r="B79" s="35" t="s">
        <v>259</v>
      </c>
      <c r="C79" s="35" t="s">
        <v>260</v>
      </c>
      <c r="D79" s="35" t="str">
        <f t="shared" si="4"/>
        <v>000.000.283-00</v>
      </c>
      <c r="E79" s="36">
        <v>36308</v>
      </c>
      <c r="F79" s="37">
        <v>27</v>
      </c>
      <c r="G79" s="35" t="s">
        <v>123</v>
      </c>
      <c r="H79" s="35" t="s">
        <v>124</v>
      </c>
      <c r="I79" s="38">
        <v>5300</v>
      </c>
      <c r="J79" s="38">
        <v>22000</v>
      </c>
      <c r="K79" s="35" t="s">
        <v>49</v>
      </c>
      <c r="L79" s="37">
        <v>11</v>
      </c>
      <c r="M79" s="38">
        <v>28500</v>
      </c>
      <c r="N79" s="35" t="str">
        <f t="shared" si="0"/>
        <v>Médio</v>
      </c>
      <c r="O79" s="35" t="str">
        <f t="shared" si="1"/>
        <v>Passa</v>
      </c>
      <c r="P79" s="35" t="str">
        <f t="shared" si="2"/>
        <v>Passa</v>
      </c>
      <c r="Q79" s="38">
        <f>IF(AND(O79="Negada",P79="Negada"),0,IF(A79="Ativo",M79*0.08,0))</f>
        <v>2280</v>
      </c>
    </row>
    <row r="80" spans="1:17" ht="15.75" customHeight="1">
      <c r="A80" s="35" t="s">
        <v>77</v>
      </c>
      <c r="B80" s="35" t="s">
        <v>261</v>
      </c>
      <c r="C80" s="35" t="s">
        <v>262</v>
      </c>
      <c r="D80" s="35" t="str">
        <f t="shared" si="4"/>
        <v>000.000.054-00</v>
      </c>
      <c r="E80" s="36">
        <v>25874</v>
      </c>
      <c r="F80" s="37">
        <v>55</v>
      </c>
      <c r="G80" s="35" t="s">
        <v>165</v>
      </c>
      <c r="H80" s="35" t="s">
        <v>165</v>
      </c>
      <c r="I80" s="38">
        <v>29100</v>
      </c>
      <c r="J80" s="38">
        <v>5500</v>
      </c>
      <c r="K80" s="35" t="s">
        <v>49</v>
      </c>
      <c r="L80" s="37">
        <v>11</v>
      </c>
      <c r="M80" s="38">
        <v>56000</v>
      </c>
      <c r="N80" s="35" t="str">
        <f t="shared" si="0"/>
        <v>Médio</v>
      </c>
      <c r="O80" s="35" t="str">
        <f t="shared" si="1"/>
        <v>Passa</v>
      </c>
      <c r="P80" s="35" t="str">
        <f t="shared" si="2"/>
        <v>Passa</v>
      </c>
      <c r="Q80" s="38">
        <f>IF(AND(O80="Negada",P80="Negada"),0,IF(A80="Ativo",M80*0.08,0))</f>
        <v>4480</v>
      </c>
    </row>
    <row r="81" spans="1:17" ht="15.75" customHeight="1">
      <c r="A81" s="35" t="s">
        <v>77</v>
      </c>
      <c r="B81" s="35" t="s">
        <v>263</v>
      </c>
      <c r="C81" s="35" t="s">
        <v>264</v>
      </c>
      <c r="D81" s="35" t="str">
        <f t="shared" si="4"/>
        <v>000.000.011-00</v>
      </c>
      <c r="E81" s="36">
        <v>26812</v>
      </c>
      <c r="F81" s="37">
        <v>53</v>
      </c>
      <c r="G81" s="35" t="s">
        <v>108</v>
      </c>
      <c r="H81" s="35" t="s">
        <v>109</v>
      </c>
      <c r="I81" s="38">
        <v>27800</v>
      </c>
      <c r="J81" s="38">
        <v>52000</v>
      </c>
      <c r="K81" s="35" t="s">
        <v>49</v>
      </c>
      <c r="L81" s="37">
        <v>43</v>
      </c>
      <c r="M81" s="38">
        <v>93500</v>
      </c>
      <c r="N81" s="35" t="str">
        <f t="shared" si="0"/>
        <v>Alto</v>
      </c>
      <c r="O81" s="35" t="str">
        <f t="shared" si="1"/>
        <v>Passa</v>
      </c>
      <c r="P81" s="35" t="str">
        <f t="shared" si="2"/>
        <v>Passa</v>
      </c>
      <c r="Q81" s="38">
        <f>IF(AND(O81="Negada",P81="Negada"),0,IF(A81="Ativo",M81*0.08,0))</f>
        <v>7480</v>
      </c>
    </row>
    <row r="82" spans="1:17" ht="15.75" customHeight="1">
      <c r="A82" s="35" t="s">
        <v>77</v>
      </c>
      <c r="B82" s="35" t="s">
        <v>265</v>
      </c>
      <c r="C82" s="35" t="s">
        <v>266</v>
      </c>
      <c r="D82" s="35" t="str">
        <f t="shared" si="4"/>
        <v>000.000.051-00</v>
      </c>
      <c r="E82" s="36">
        <v>31647</v>
      </c>
      <c r="F82" s="37">
        <v>40</v>
      </c>
      <c r="G82" s="35" t="s">
        <v>146</v>
      </c>
      <c r="H82" s="35" t="s">
        <v>128</v>
      </c>
      <c r="I82" s="38">
        <v>18700</v>
      </c>
      <c r="J82" s="38">
        <v>15000</v>
      </c>
      <c r="K82" s="35"/>
      <c r="L82" s="37">
        <v>26</v>
      </c>
      <c r="M82" s="38">
        <v>89500</v>
      </c>
      <c r="N82" s="35" t="str">
        <f t="shared" si="0"/>
        <v>Alto</v>
      </c>
      <c r="O82" s="35" t="str">
        <f t="shared" si="1"/>
        <v>Passa</v>
      </c>
      <c r="P82" s="35" t="str">
        <f t="shared" si="2"/>
        <v>Passa</v>
      </c>
      <c r="Q82" s="38">
        <f>IF(AND(O82="Negada",P82="Negada"),0,IF(A82="Ativo",M82*0.08,0))</f>
        <v>7160</v>
      </c>
    </row>
    <row r="83" spans="1:17" ht="15.75" customHeight="1">
      <c r="A83" s="35" t="s">
        <v>77</v>
      </c>
      <c r="B83" s="35" t="s">
        <v>267</v>
      </c>
      <c r="C83" s="35" t="s">
        <v>268</v>
      </c>
      <c r="D83" s="35" t="str">
        <f t="shared" si="4"/>
        <v>000.000.344-00</v>
      </c>
      <c r="E83" s="36">
        <v>22836</v>
      </c>
      <c r="F83" s="37">
        <v>64</v>
      </c>
      <c r="G83" s="35" t="s">
        <v>269</v>
      </c>
      <c r="H83" s="35" t="s">
        <v>85</v>
      </c>
      <c r="I83" s="38">
        <v>24300</v>
      </c>
      <c r="J83" s="38">
        <v>16500</v>
      </c>
      <c r="K83" s="35" t="s">
        <v>50</v>
      </c>
      <c r="L83" s="37">
        <v>24</v>
      </c>
      <c r="M83" s="38">
        <v>57000</v>
      </c>
      <c r="N83" s="35" t="str">
        <f t="shared" si="0"/>
        <v>Médio</v>
      </c>
      <c r="O83" s="35" t="str">
        <f t="shared" si="1"/>
        <v>Passa</v>
      </c>
      <c r="P83" s="35" t="str">
        <f t="shared" si="2"/>
        <v>Passa</v>
      </c>
      <c r="Q83" s="38">
        <f>IF(AND(O83="Negada",P83="Negada"),0,IF(A83="Ativo",M83*0.08,0))</f>
        <v>4560</v>
      </c>
    </row>
    <row r="84" spans="1:17" ht="15.75" customHeight="1">
      <c r="A84" s="35" t="s">
        <v>77</v>
      </c>
      <c r="B84" s="35" t="s">
        <v>270</v>
      </c>
      <c r="C84" s="35" t="s">
        <v>271</v>
      </c>
      <c r="D84" s="35" t="str">
        <f t="shared" si="4"/>
        <v>000.000.293-00</v>
      </c>
      <c r="E84" s="36">
        <v>37091</v>
      </c>
      <c r="F84" s="37">
        <v>25</v>
      </c>
      <c r="G84" s="35" t="s">
        <v>80</v>
      </c>
      <c r="H84" s="35" t="s">
        <v>81</v>
      </c>
      <c r="I84" s="38">
        <v>28800</v>
      </c>
      <c r="J84" s="38"/>
      <c r="K84" s="35" t="s">
        <v>49</v>
      </c>
      <c r="L84" s="37">
        <v>12</v>
      </c>
      <c r="M84" s="38">
        <v>46500</v>
      </c>
      <c r="N84" s="35" t="str">
        <f t="shared" si="0"/>
        <v>Médio</v>
      </c>
      <c r="O84" s="35" t="str">
        <f t="shared" si="1"/>
        <v>Passa</v>
      </c>
      <c r="P84" s="35" t="str">
        <f t="shared" si="2"/>
        <v>Passa</v>
      </c>
      <c r="Q84" s="38">
        <f>IF(AND(O84="Negada",P84="Negada"),0,IF(A84="Ativo",M84*0.08,0))</f>
        <v>3720</v>
      </c>
    </row>
    <row r="85" spans="1:17" ht="15.75" customHeight="1">
      <c r="A85" s="35" t="s">
        <v>77</v>
      </c>
      <c r="B85" s="35" t="s">
        <v>272</v>
      </c>
      <c r="C85" s="35" t="s">
        <v>273</v>
      </c>
      <c r="D85" s="35" t="str">
        <f t="shared" si="4"/>
        <v>000.000.139-00</v>
      </c>
      <c r="E85" s="36">
        <v>26161</v>
      </c>
      <c r="F85" s="37">
        <v>55</v>
      </c>
      <c r="G85" s="35" t="s">
        <v>156</v>
      </c>
      <c r="H85" s="35" t="s">
        <v>134</v>
      </c>
      <c r="I85" s="38">
        <v>12200</v>
      </c>
      <c r="J85" s="38">
        <v>70500</v>
      </c>
      <c r="K85" s="35" t="s">
        <v>49</v>
      </c>
      <c r="L85" s="37">
        <v>33</v>
      </c>
      <c r="M85" s="38">
        <v>78000</v>
      </c>
      <c r="N85" s="35" t="str">
        <f t="shared" si="0"/>
        <v>Alto</v>
      </c>
      <c r="O85" s="35" t="str">
        <f t="shared" si="1"/>
        <v>Passa</v>
      </c>
      <c r="P85" s="35" t="str">
        <f t="shared" si="2"/>
        <v>Passa</v>
      </c>
      <c r="Q85" s="38">
        <f>IF(AND(O85="Negada",P85="Negada"),0,IF(A85="Ativo",M85*0.08,0))</f>
        <v>6240</v>
      </c>
    </row>
    <row r="86" spans="1:17" ht="15.75" customHeight="1">
      <c r="A86" s="35" t="s">
        <v>77</v>
      </c>
      <c r="B86" s="35" t="s">
        <v>274</v>
      </c>
      <c r="C86" s="35" t="s">
        <v>275</v>
      </c>
      <c r="D86" s="35" t="str">
        <f t="shared" si="4"/>
        <v>000.000.320-00</v>
      </c>
      <c r="E86" s="36">
        <v>21162</v>
      </c>
      <c r="F86" s="37">
        <v>68</v>
      </c>
      <c r="G86" s="35" t="s">
        <v>127</v>
      </c>
      <c r="H86" s="35" t="s">
        <v>128</v>
      </c>
      <c r="I86" s="38">
        <v>11500</v>
      </c>
      <c r="J86" s="38">
        <v>17500</v>
      </c>
      <c r="K86" s="35" t="s">
        <v>49</v>
      </c>
      <c r="L86" s="37">
        <v>19</v>
      </c>
      <c r="M86" s="38">
        <v>26000</v>
      </c>
      <c r="N86" s="35" t="str">
        <f t="shared" si="0"/>
        <v>Médio</v>
      </c>
      <c r="O86" s="35" t="str">
        <f t="shared" si="1"/>
        <v>Passa</v>
      </c>
      <c r="P86" s="35" t="str">
        <f t="shared" si="2"/>
        <v>Passa</v>
      </c>
      <c r="Q86" s="38">
        <f>IF(AND(O86="Negada",P86="Negada"),0,IF(A86="Ativo",M86*0.08,0))</f>
        <v>2080</v>
      </c>
    </row>
    <row r="87" spans="1:17" ht="15.75" customHeight="1">
      <c r="A87" s="35" t="s">
        <v>77</v>
      </c>
      <c r="B87" s="35" t="s">
        <v>276</v>
      </c>
      <c r="C87" s="35" t="s">
        <v>277</v>
      </c>
      <c r="D87" s="35" t="str">
        <f t="shared" si="4"/>
        <v>000.000.091-00</v>
      </c>
      <c r="E87" s="36">
        <v>32412</v>
      </c>
      <c r="F87" s="37">
        <v>37</v>
      </c>
      <c r="G87" s="35" t="s">
        <v>146</v>
      </c>
      <c r="H87" s="35" t="s">
        <v>128</v>
      </c>
      <c r="I87" s="38">
        <v>24700</v>
      </c>
      <c r="J87" s="38">
        <v>23000</v>
      </c>
      <c r="K87" s="35" t="s">
        <v>50</v>
      </c>
      <c r="L87" s="37">
        <v>10</v>
      </c>
      <c r="M87" s="38">
        <v>37500</v>
      </c>
      <c r="N87" s="35" t="str">
        <f t="shared" si="0"/>
        <v>Baixo</v>
      </c>
      <c r="O87" s="35" t="str">
        <f t="shared" si="1"/>
        <v>Passa</v>
      </c>
      <c r="P87" s="35" t="str">
        <f t="shared" si="2"/>
        <v>Passa</v>
      </c>
      <c r="Q87" s="38">
        <f>IF(AND(O87="Negada",P87="Negada"),0,IF(A87="Ativo",M87*0.08,0))</f>
        <v>3000</v>
      </c>
    </row>
    <row r="88" spans="1:17" ht="15.75" customHeight="1">
      <c r="A88" s="35" t="s">
        <v>77</v>
      </c>
      <c r="B88" s="35" t="s">
        <v>278</v>
      </c>
      <c r="C88" s="35" t="s">
        <v>279</v>
      </c>
      <c r="D88" s="35" t="str">
        <f t="shared" si="4"/>
        <v>000.000.218-00</v>
      </c>
      <c r="E88" s="36">
        <v>23488</v>
      </c>
      <c r="F88" s="37">
        <v>62</v>
      </c>
      <c r="G88" s="35" t="s">
        <v>80</v>
      </c>
      <c r="H88" s="35" t="s">
        <v>81</v>
      </c>
      <c r="I88" s="38"/>
      <c r="J88" s="38"/>
      <c r="K88" s="35" t="s">
        <v>49</v>
      </c>
      <c r="L88" s="37">
        <v>38</v>
      </c>
      <c r="M88" s="38">
        <v>72000</v>
      </c>
      <c r="N88" s="35" t="str">
        <f t="shared" si="0"/>
        <v>Alto</v>
      </c>
      <c r="O88" s="35" t="str">
        <f t="shared" si="1"/>
        <v>Passa</v>
      </c>
      <c r="P88" s="35" t="str">
        <f t="shared" si="2"/>
        <v>Passa</v>
      </c>
      <c r="Q88" s="38">
        <f>IF(AND(O88="Negada",P88="Negada"),0,IF(A88="Ativo",M88*0.08,0))</f>
        <v>5760</v>
      </c>
    </row>
    <row r="89" spans="1:17" ht="15.75" customHeight="1">
      <c r="A89" s="35" t="s">
        <v>77</v>
      </c>
      <c r="B89" s="35" t="s">
        <v>280</v>
      </c>
      <c r="C89" s="35" t="s">
        <v>281</v>
      </c>
      <c r="D89" s="35" t="str">
        <f t="shared" si="4"/>
        <v>000.000.334-00</v>
      </c>
      <c r="E89" s="36">
        <v>37491</v>
      </c>
      <c r="F89" s="37">
        <v>24</v>
      </c>
      <c r="G89" s="35" t="s">
        <v>165</v>
      </c>
      <c r="H89" s="35" t="s">
        <v>165</v>
      </c>
      <c r="I89" s="38">
        <v>8900</v>
      </c>
      <c r="J89" s="38">
        <v>19500</v>
      </c>
      <c r="K89" s="35" t="s">
        <v>50</v>
      </c>
      <c r="L89" s="37">
        <v>33</v>
      </c>
      <c r="M89" s="38">
        <v>96500</v>
      </c>
      <c r="N89" s="35" t="str">
        <f t="shared" si="0"/>
        <v>Alto</v>
      </c>
      <c r="O89" s="35" t="str">
        <f t="shared" si="1"/>
        <v>Negada</v>
      </c>
      <c r="P89" s="35" t="str">
        <f t="shared" si="2"/>
        <v>Passa</v>
      </c>
      <c r="Q89" s="38">
        <f>IF(AND(O89="Negada",P89="Negada"),0,IF(A89="Ativo",M89*0.08,0))</f>
        <v>7720</v>
      </c>
    </row>
    <row r="90" spans="1:17" ht="15.75" customHeight="1">
      <c r="A90" s="35" t="s">
        <v>77</v>
      </c>
      <c r="B90" s="35" t="s">
        <v>282</v>
      </c>
      <c r="C90" s="35" t="s">
        <v>283</v>
      </c>
      <c r="D90" s="35" t="str">
        <f t="shared" si="4"/>
        <v>000.000.200-00</v>
      </c>
      <c r="E90" s="36"/>
      <c r="F90" s="37">
        <v>35</v>
      </c>
      <c r="G90" s="35" t="s">
        <v>133</v>
      </c>
      <c r="H90" s="35" t="s">
        <v>134</v>
      </c>
      <c r="I90" s="38">
        <v>28000</v>
      </c>
      <c r="J90" s="38">
        <v>76500</v>
      </c>
      <c r="K90" s="35" t="s">
        <v>49</v>
      </c>
      <c r="L90" s="37">
        <v>39</v>
      </c>
      <c r="M90" s="38">
        <v>32000</v>
      </c>
      <c r="N90" s="35" t="str">
        <f t="shared" si="0"/>
        <v>Alto</v>
      </c>
      <c r="O90" s="35" t="str">
        <f t="shared" si="1"/>
        <v>Passa</v>
      </c>
      <c r="P90" s="35" t="str">
        <f t="shared" si="2"/>
        <v>Passa</v>
      </c>
      <c r="Q90" s="38">
        <f>IF(AND(O90="Negada",P90="Negada"),0,IF(A90="Ativo",M90*0.08,0))</f>
        <v>2560</v>
      </c>
    </row>
    <row r="91" spans="1:17" ht="15.75" customHeight="1">
      <c r="A91" s="35" t="s">
        <v>77</v>
      </c>
      <c r="B91" s="35" t="s">
        <v>284</v>
      </c>
      <c r="C91" s="35" t="s">
        <v>285</v>
      </c>
      <c r="D91" s="35" t="str">
        <f t="shared" si="4"/>
        <v>000.000.248-00</v>
      </c>
      <c r="E91" s="36">
        <v>31408</v>
      </c>
      <c r="F91" s="37">
        <v>40</v>
      </c>
      <c r="G91" s="35" t="s">
        <v>114</v>
      </c>
      <c r="H91" s="35" t="s">
        <v>109</v>
      </c>
      <c r="I91" s="38">
        <v>17400</v>
      </c>
      <c r="J91" s="38">
        <v>53000</v>
      </c>
      <c r="K91" s="35" t="s">
        <v>50</v>
      </c>
      <c r="L91" s="37">
        <v>20</v>
      </c>
      <c r="M91" s="38">
        <v>52500</v>
      </c>
      <c r="N91" s="35" t="str">
        <f t="shared" si="0"/>
        <v>Médio</v>
      </c>
      <c r="O91" s="35" t="str">
        <f t="shared" si="1"/>
        <v>Passa</v>
      </c>
      <c r="P91" s="35" t="str">
        <f t="shared" si="2"/>
        <v>Negada</v>
      </c>
      <c r="Q91" s="38">
        <f>IF(AND(O91="Negada",P91="Negada"),0,IF(A91="Ativo",M91*0.08,0))</f>
        <v>4200</v>
      </c>
    </row>
    <row r="92" spans="1:17" ht="15.75" customHeight="1">
      <c r="A92" s="35" t="s">
        <v>77</v>
      </c>
      <c r="B92" s="35" t="s">
        <v>286</v>
      </c>
      <c r="C92" s="35" t="s">
        <v>287</v>
      </c>
      <c r="D92" s="35" t="str">
        <f t="shared" si="4"/>
        <v>000.000.081-00</v>
      </c>
      <c r="E92" s="36">
        <v>24362</v>
      </c>
      <c r="F92" s="37">
        <v>59</v>
      </c>
      <c r="G92" s="35" t="s">
        <v>153</v>
      </c>
      <c r="H92" s="35" t="s">
        <v>128</v>
      </c>
      <c r="I92" s="38">
        <v>18900</v>
      </c>
      <c r="J92" s="38">
        <v>1000</v>
      </c>
      <c r="K92" s="35" t="s">
        <v>50</v>
      </c>
      <c r="L92" s="37">
        <v>42</v>
      </c>
      <c r="M92" s="38">
        <v>16500</v>
      </c>
      <c r="N92" s="35" t="str">
        <f t="shared" si="0"/>
        <v>Alto</v>
      </c>
      <c r="O92" s="35" t="str">
        <f t="shared" si="1"/>
        <v>Negada</v>
      </c>
      <c r="P92" s="35" t="str">
        <f t="shared" si="2"/>
        <v>Passa</v>
      </c>
      <c r="Q92" s="38">
        <f>IF(AND(O92="Negada",P92="Negada"),0,IF(A92="Ativo",M92*0.08,0))</f>
        <v>1320</v>
      </c>
    </row>
    <row r="93" spans="1:17" ht="15.75" customHeight="1">
      <c r="A93" s="35" t="s">
        <v>82</v>
      </c>
      <c r="B93" s="35" t="s">
        <v>288</v>
      </c>
      <c r="C93" s="35" t="s">
        <v>289</v>
      </c>
      <c r="D93" s="35" t="str">
        <f t="shared" si="4"/>
        <v>000.000.065-00</v>
      </c>
      <c r="E93" s="36">
        <v>19672</v>
      </c>
      <c r="F93" s="37">
        <v>72</v>
      </c>
      <c r="G93" s="35" t="s">
        <v>165</v>
      </c>
      <c r="H93" s="35" t="s">
        <v>165</v>
      </c>
      <c r="I93" s="38">
        <v>21000</v>
      </c>
      <c r="J93" s="38">
        <v>0</v>
      </c>
      <c r="K93" s="35" t="s">
        <v>49</v>
      </c>
      <c r="L93" s="37">
        <v>11</v>
      </c>
      <c r="M93" s="38">
        <v>75500</v>
      </c>
      <c r="N93" s="35" t="str">
        <f t="shared" si="0"/>
        <v>Médio</v>
      </c>
      <c r="O93" s="35" t="str">
        <f t="shared" si="1"/>
        <v>Passa</v>
      </c>
      <c r="P93" s="35" t="str">
        <f t="shared" si="2"/>
        <v>Passa</v>
      </c>
      <c r="Q93" s="38">
        <f>IF(AND(O93="Negada",P93="Negada"),0,IF(A93="Ativo",M93*0.08,0))</f>
        <v>0</v>
      </c>
    </row>
    <row r="94" spans="1:17" ht="15.75" customHeight="1">
      <c r="A94" s="35" t="s">
        <v>77</v>
      </c>
      <c r="B94" s="35" t="s">
        <v>290</v>
      </c>
      <c r="C94" s="35" t="s">
        <v>291</v>
      </c>
      <c r="D94" s="35" t="str">
        <f t="shared" si="4"/>
        <v>000.000.044-00</v>
      </c>
      <c r="E94" s="36">
        <v>30666</v>
      </c>
      <c r="F94" s="37">
        <v>42</v>
      </c>
      <c r="G94" s="35" t="s">
        <v>88</v>
      </c>
      <c r="H94" s="35" t="s">
        <v>89</v>
      </c>
      <c r="I94" s="38">
        <v>6000</v>
      </c>
      <c r="J94" s="38">
        <v>55000</v>
      </c>
      <c r="K94" s="35" t="s">
        <v>49</v>
      </c>
      <c r="L94" s="37">
        <v>5</v>
      </c>
      <c r="M94" s="38">
        <v>10000</v>
      </c>
      <c r="N94" s="35" t="str">
        <f t="shared" si="0"/>
        <v>Baixo</v>
      </c>
      <c r="O94" s="35" t="str">
        <f t="shared" si="1"/>
        <v>Passa</v>
      </c>
      <c r="P94" s="35" t="str">
        <f t="shared" si="2"/>
        <v>Passa</v>
      </c>
      <c r="Q94" s="38">
        <f>IF(AND(O94="Negada",P94="Negada"),0,IF(A94="Ativo",M94*0.08,0))</f>
        <v>800</v>
      </c>
    </row>
    <row r="95" spans="1:17" ht="15.75" customHeight="1">
      <c r="A95" s="35" t="s">
        <v>77</v>
      </c>
      <c r="B95" s="35" t="s">
        <v>292</v>
      </c>
      <c r="C95" s="35" t="s">
        <v>293</v>
      </c>
      <c r="D95" s="35" t="str">
        <f t="shared" si="4"/>
        <v>000.000.308-00</v>
      </c>
      <c r="E95" s="36">
        <v>24082</v>
      </c>
      <c r="F95" s="37">
        <v>60</v>
      </c>
      <c r="G95" s="35" t="s">
        <v>215</v>
      </c>
      <c r="H95" s="35" t="s">
        <v>216</v>
      </c>
      <c r="I95" s="38">
        <v>13800</v>
      </c>
      <c r="J95" s="38">
        <v>45500</v>
      </c>
      <c r="K95" s="35" t="s">
        <v>49</v>
      </c>
      <c r="L95" s="37">
        <v>30</v>
      </c>
      <c r="M95" s="38">
        <v>17500</v>
      </c>
      <c r="N95" s="35" t="str">
        <f t="shared" si="0"/>
        <v>Alto</v>
      </c>
      <c r="O95" s="35" t="str">
        <f t="shared" si="1"/>
        <v>Passa</v>
      </c>
      <c r="P95" s="35" t="str">
        <f t="shared" si="2"/>
        <v>Passa</v>
      </c>
      <c r="Q95" s="38">
        <f>IF(AND(O95="Negada",P95="Negada"),0,IF(A95="Ativo",M95*0.08,0))</f>
        <v>1400</v>
      </c>
    </row>
    <row r="96" spans="1:17" ht="15.75" customHeight="1">
      <c r="A96" s="35" t="s">
        <v>77</v>
      </c>
      <c r="B96" s="35" t="s">
        <v>294</v>
      </c>
      <c r="C96" s="35" t="s">
        <v>295</v>
      </c>
      <c r="D96" s="35" t="str">
        <f t="shared" si="4"/>
        <v>000.000.276-00</v>
      </c>
      <c r="E96" s="36">
        <v>32791</v>
      </c>
      <c r="F96" s="37">
        <v>36</v>
      </c>
      <c r="G96" s="35" t="s">
        <v>156</v>
      </c>
      <c r="H96" s="35" t="s">
        <v>134</v>
      </c>
      <c r="I96" s="38">
        <v>23900</v>
      </c>
      <c r="J96" s="38">
        <v>58000</v>
      </c>
      <c r="K96" s="35" t="s">
        <v>49</v>
      </c>
      <c r="L96" s="37">
        <v>27</v>
      </c>
      <c r="M96" s="38">
        <v>38000</v>
      </c>
      <c r="N96" s="35" t="str">
        <f t="shared" si="0"/>
        <v>Alto</v>
      </c>
      <c r="O96" s="35" t="str">
        <f t="shared" si="1"/>
        <v>Passa</v>
      </c>
      <c r="P96" s="35" t="str">
        <f t="shared" si="2"/>
        <v>Passa</v>
      </c>
      <c r="Q96" s="38">
        <f>IF(AND(O96="Negada",P96="Negada"),0,IF(A96="Ativo",M96*0.08,0))</f>
        <v>3040</v>
      </c>
    </row>
    <row r="97" spans="1:17" ht="15.75" customHeight="1">
      <c r="A97" s="35" t="s">
        <v>77</v>
      </c>
      <c r="B97" s="35" t="s">
        <v>296</v>
      </c>
      <c r="C97" s="35" t="s">
        <v>297</v>
      </c>
      <c r="D97" s="35" t="str">
        <f t="shared" si="4"/>
        <v>000.000.088-00</v>
      </c>
      <c r="E97" s="36">
        <v>19121</v>
      </c>
      <c r="F97" s="37">
        <v>74</v>
      </c>
      <c r="G97" s="35" t="s">
        <v>127</v>
      </c>
      <c r="H97" s="35" t="s">
        <v>128</v>
      </c>
      <c r="I97" s="38">
        <v>7300</v>
      </c>
      <c r="J97" s="38">
        <v>1000</v>
      </c>
      <c r="K97" s="35" t="s">
        <v>49</v>
      </c>
      <c r="L97" s="37">
        <v>3</v>
      </c>
      <c r="M97" s="38">
        <v>50500</v>
      </c>
      <c r="N97" s="35" t="str">
        <f t="shared" si="0"/>
        <v>Baixo</v>
      </c>
      <c r="O97" s="35" t="str">
        <f t="shared" si="1"/>
        <v>Passa</v>
      </c>
      <c r="P97" s="35" t="str">
        <f t="shared" si="2"/>
        <v>Passa</v>
      </c>
      <c r="Q97" s="38">
        <f>IF(AND(O97="Negada",P97="Negada"),0,IF(A97="Ativo",M97*0.08,0))</f>
        <v>4040</v>
      </c>
    </row>
    <row r="98" spans="1:17" ht="15.75" customHeight="1">
      <c r="A98" s="35" t="s">
        <v>77</v>
      </c>
      <c r="B98" s="35" t="s">
        <v>298</v>
      </c>
      <c r="C98" s="35" t="s">
        <v>299</v>
      </c>
      <c r="D98" s="35" t="str">
        <f t="shared" si="4"/>
        <v>000.000.207-00</v>
      </c>
      <c r="E98" s="36">
        <v>22151</v>
      </c>
      <c r="F98" s="37">
        <v>66</v>
      </c>
      <c r="G98" s="35" t="s">
        <v>146</v>
      </c>
      <c r="H98" s="35" t="s">
        <v>128</v>
      </c>
      <c r="I98" s="38">
        <v>28800</v>
      </c>
      <c r="J98" s="38">
        <v>16000</v>
      </c>
      <c r="K98" s="35" t="s">
        <v>50</v>
      </c>
      <c r="L98" s="37">
        <v>44</v>
      </c>
      <c r="M98" s="38">
        <v>59000</v>
      </c>
      <c r="N98" s="35" t="str">
        <f t="shared" si="0"/>
        <v>Alto</v>
      </c>
      <c r="O98" s="35" t="str">
        <f t="shared" si="1"/>
        <v>Negada</v>
      </c>
      <c r="P98" s="35" t="str">
        <f t="shared" si="2"/>
        <v>Passa</v>
      </c>
      <c r="Q98" s="38">
        <f>IF(AND(O98="Negada",P98="Negada"),0,IF(A98="Ativo",M98*0.08,0))</f>
        <v>4720</v>
      </c>
    </row>
    <row r="99" spans="1:17" ht="15.75" customHeight="1">
      <c r="A99" s="35" t="s">
        <v>77</v>
      </c>
      <c r="B99" s="35" t="s">
        <v>300</v>
      </c>
      <c r="C99" s="35" t="s">
        <v>301</v>
      </c>
      <c r="D99" s="35" t="str">
        <f t="shared" si="4"/>
        <v>000.000.216-00</v>
      </c>
      <c r="E99" s="36">
        <v>33835</v>
      </c>
      <c r="F99" s="37">
        <v>34</v>
      </c>
      <c r="G99" s="35" t="s">
        <v>156</v>
      </c>
      <c r="H99" s="35" t="s">
        <v>134</v>
      </c>
      <c r="I99" s="38">
        <v>5100</v>
      </c>
      <c r="J99" s="38">
        <v>17000</v>
      </c>
      <c r="K99" s="35" t="s">
        <v>49</v>
      </c>
      <c r="L99" s="37">
        <v>3</v>
      </c>
      <c r="M99" s="38">
        <v>4500</v>
      </c>
      <c r="N99" s="35" t="str">
        <f t="shared" si="0"/>
        <v>Baixo</v>
      </c>
      <c r="O99" s="35" t="str">
        <f t="shared" si="1"/>
        <v>Passa</v>
      </c>
      <c r="P99" s="35" t="str">
        <f t="shared" si="2"/>
        <v>Passa</v>
      </c>
      <c r="Q99" s="38">
        <f>IF(AND(O99="Negada",P99="Negada"),0,IF(A99="Ativo",M99*0.08,0))</f>
        <v>360</v>
      </c>
    </row>
    <row r="100" spans="1:17" ht="15.75" customHeight="1">
      <c r="A100" s="35" t="s">
        <v>77</v>
      </c>
      <c r="B100" s="35" t="s">
        <v>274</v>
      </c>
      <c r="C100" s="35" t="s">
        <v>302</v>
      </c>
      <c r="D100" s="35" t="str">
        <f t="shared" si="4"/>
        <v>000.000.277-00</v>
      </c>
      <c r="E100" s="36">
        <v>22436</v>
      </c>
      <c r="F100" s="37">
        <v>65</v>
      </c>
      <c r="G100" s="35" t="s">
        <v>80</v>
      </c>
      <c r="H100" s="35" t="s">
        <v>81</v>
      </c>
      <c r="I100" s="38">
        <v>12700</v>
      </c>
      <c r="J100" s="38">
        <v>60500</v>
      </c>
      <c r="K100" s="35" t="s">
        <v>49</v>
      </c>
      <c r="L100" s="37">
        <v>36</v>
      </c>
      <c r="M100" s="38">
        <v>28000</v>
      </c>
      <c r="N100" s="35" t="str">
        <f t="shared" si="0"/>
        <v>Alto</v>
      </c>
      <c r="O100" s="35" t="str">
        <f t="shared" si="1"/>
        <v>Passa</v>
      </c>
      <c r="P100" s="35" t="str">
        <f t="shared" si="2"/>
        <v>Passa</v>
      </c>
      <c r="Q100" s="38">
        <f>IF(AND(O100="Negada",P100="Negada"),0,IF(A100="Ativo",M100*0.08,0))</f>
        <v>2240</v>
      </c>
    </row>
    <row r="101" spans="1:17" ht="15.75" customHeight="1">
      <c r="A101" s="35" t="s">
        <v>82</v>
      </c>
      <c r="B101" s="35" t="s">
        <v>303</v>
      </c>
      <c r="C101" s="35" t="s">
        <v>304</v>
      </c>
      <c r="D101" s="35" t="str">
        <f t="shared" si="4"/>
        <v>000.000.217-00</v>
      </c>
      <c r="E101" s="36">
        <v>21205</v>
      </c>
      <c r="F101" s="37">
        <v>68</v>
      </c>
      <c r="G101" s="35" t="s">
        <v>156</v>
      </c>
      <c r="H101" s="35" t="s">
        <v>134</v>
      </c>
      <c r="I101" s="38">
        <v>8200</v>
      </c>
      <c r="J101" s="38">
        <v>66000</v>
      </c>
      <c r="K101" s="35" t="s">
        <v>49</v>
      </c>
      <c r="L101" s="37">
        <v>16</v>
      </c>
      <c r="M101" s="38">
        <v>84000</v>
      </c>
      <c r="N101" s="35" t="str">
        <f t="shared" si="0"/>
        <v>Médio</v>
      </c>
      <c r="O101" s="35" t="str">
        <f t="shared" si="1"/>
        <v>Passa</v>
      </c>
      <c r="P101" s="35" t="str">
        <f t="shared" si="2"/>
        <v>Passa</v>
      </c>
      <c r="Q101" s="38">
        <f>IF(AND(O101="Negada",P101="Negada"),0,IF(A101="Ativo",M101*0.08,0))</f>
        <v>0</v>
      </c>
    </row>
    <row r="102" spans="1:17" ht="15.75" customHeight="1">
      <c r="A102" s="35" t="s">
        <v>82</v>
      </c>
      <c r="B102" s="35" t="s">
        <v>305</v>
      </c>
      <c r="C102" s="35" t="s">
        <v>306</v>
      </c>
      <c r="D102" s="35" t="str">
        <f t="shared" si="4"/>
        <v>000.000.129-00</v>
      </c>
      <c r="E102" s="36">
        <v>24554</v>
      </c>
      <c r="F102" s="37">
        <v>59</v>
      </c>
      <c r="G102" s="35" t="s">
        <v>108</v>
      </c>
      <c r="H102" s="35" t="s">
        <v>109</v>
      </c>
      <c r="I102" s="38">
        <v>15200</v>
      </c>
      <c r="J102" s="38">
        <v>11000</v>
      </c>
      <c r="K102" s="35" t="s">
        <v>49</v>
      </c>
      <c r="L102" s="37">
        <v>27</v>
      </c>
      <c r="M102" s="38">
        <v>87000</v>
      </c>
      <c r="N102" s="35" t="str">
        <f t="shared" si="0"/>
        <v>Alto</v>
      </c>
      <c r="O102" s="35" t="str">
        <f t="shared" si="1"/>
        <v>Passa</v>
      </c>
      <c r="P102" s="35" t="str">
        <f t="shared" si="2"/>
        <v>Passa</v>
      </c>
      <c r="Q102" s="38">
        <f>IF(AND(O102="Negada",P102="Negada"),0,IF(A102="Ativo",M102*0.08,0))</f>
        <v>0</v>
      </c>
    </row>
    <row r="103" spans="1:17" ht="15.75" customHeight="1">
      <c r="A103" s="35" t="s">
        <v>77</v>
      </c>
      <c r="B103" s="35" t="s">
        <v>307</v>
      </c>
      <c r="C103" s="35" t="s">
        <v>308</v>
      </c>
      <c r="D103" s="35" t="str">
        <f t="shared" si="4"/>
        <v>000.000.359-00</v>
      </c>
      <c r="E103" s="36">
        <v>35600</v>
      </c>
      <c r="F103" s="37">
        <v>29</v>
      </c>
      <c r="G103" s="35" t="s">
        <v>197</v>
      </c>
      <c r="H103" s="35" t="s">
        <v>89</v>
      </c>
      <c r="I103" s="38">
        <v>10000</v>
      </c>
      <c r="J103" s="38">
        <v>25500</v>
      </c>
      <c r="K103" s="35" t="s">
        <v>49</v>
      </c>
      <c r="L103" s="37">
        <v>15</v>
      </c>
      <c r="M103" s="38">
        <v>66000</v>
      </c>
      <c r="N103" s="35" t="str">
        <f t="shared" si="0"/>
        <v>Médio</v>
      </c>
      <c r="O103" s="35" t="str">
        <f t="shared" si="1"/>
        <v>Passa</v>
      </c>
      <c r="P103" s="35" t="str">
        <f t="shared" si="2"/>
        <v>Passa</v>
      </c>
      <c r="Q103" s="38">
        <f>IF(AND(O103="Negada",P103="Negada"),0,IF(A103="Ativo",M103*0.08,0))</f>
        <v>5280</v>
      </c>
    </row>
    <row r="104" spans="1:17" ht="15.75" customHeight="1">
      <c r="A104" s="35" t="s">
        <v>77</v>
      </c>
      <c r="B104" s="35" t="s">
        <v>309</v>
      </c>
      <c r="C104" s="35" t="s">
        <v>310</v>
      </c>
      <c r="D104" s="35" t="str">
        <f t="shared" si="4"/>
        <v>000.000.244-00</v>
      </c>
      <c r="E104" s="36">
        <v>20725</v>
      </c>
      <c r="F104" s="37">
        <v>69</v>
      </c>
      <c r="G104" s="35" t="s">
        <v>123</v>
      </c>
      <c r="H104" s="35" t="s">
        <v>124</v>
      </c>
      <c r="I104" s="38">
        <v>8100</v>
      </c>
      <c r="J104" s="38">
        <v>27500</v>
      </c>
      <c r="K104" s="35" t="s">
        <v>49</v>
      </c>
      <c r="L104" s="37">
        <v>42</v>
      </c>
      <c r="M104" s="38">
        <v>72500</v>
      </c>
      <c r="N104" s="35" t="str">
        <f t="shared" si="0"/>
        <v>Alto</v>
      </c>
      <c r="O104" s="35" t="str">
        <f t="shared" si="1"/>
        <v>Passa</v>
      </c>
      <c r="P104" s="35" t="str">
        <f t="shared" si="2"/>
        <v>Passa</v>
      </c>
      <c r="Q104" s="38">
        <f>IF(AND(O104="Negada",P104="Negada"),0,IF(A104="Ativo",M104*0.08,0))</f>
        <v>5800</v>
      </c>
    </row>
    <row r="105" spans="1:17" ht="15.75" customHeight="1">
      <c r="A105" s="35" t="s">
        <v>77</v>
      </c>
      <c r="B105" s="35" t="s">
        <v>257</v>
      </c>
      <c r="C105" s="35" t="s">
        <v>258</v>
      </c>
      <c r="D105" s="35" t="str">
        <f t="shared" si="4"/>
        <v>000.000.092-00</v>
      </c>
      <c r="E105" s="36">
        <v>32543</v>
      </c>
      <c r="F105" s="37">
        <v>37</v>
      </c>
      <c r="G105" s="35" t="s">
        <v>133</v>
      </c>
      <c r="H105" s="35" t="s">
        <v>134</v>
      </c>
      <c r="I105" s="38">
        <v>29200</v>
      </c>
      <c r="J105" s="38">
        <v>45000</v>
      </c>
      <c r="K105" s="35" t="s">
        <v>49</v>
      </c>
      <c r="L105" s="37">
        <v>26</v>
      </c>
      <c r="M105" s="38">
        <v>78000</v>
      </c>
      <c r="N105" s="35" t="str">
        <f t="shared" si="0"/>
        <v>Alto</v>
      </c>
      <c r="O105" s="35" t="str">
        <f t="shared" si="1"/>
        <v>Passa</v>
      </c>
      <c r="P105" s="35" t="str">
        <f t="shared" si="2"/>
        <v>Passa</v>
      </c>
      <c r="Q105" s="38">
        <f>IF(AND(O105="Negada",P105="Negada"),0,IF(A105="Ativo",M105*0.08,0))</f>
        <v>6240</v>
      </c>
    </row>
    <row r="106" spans="1:17" ht="15.75" customHeight="1">
      <c r="A106" s="35" t="s">
        <v>82</v>
      </c>
      <c r="B106" s="35" t="s">
        <v>311</v>
      </c>
      <c r="C106" s="35" t="s">
        <v>312</v>
      </c>
      <c r="D106" s="35" t="str">
        <f t="shared" si="4"/>
        <v>000.000.027-00</v>
      </c>
      <c r="E106" s="36">
        <v>35200</v>
      </c>
      <c r="F106" s="37">
        <v>30</v>
      </c>
      <c r="G106" s="35" t="s">
        <v>114</v>
      </c>
      <c r="H106" s="35" t="s">
        <v>109</v>
      </c>
      <c r="I106" s="38">
        <v>26500</v>
      </c>
      <c r="J106" s="38">
        <v>14500</v>
      </c>
      <c r="K106" s="35" t="s">
        <v>49</v>
      </c>
      <c r="L106" s="37">
        <v>15</v>
      </c>
      <c r="M106" s="38">
        <v>65500</v>
      </c>
      <c r="N106" s="35" t="str">
        <f t="shared" si="0"/>
        <v>Médio</v>
      </c>
      <c r="O106" s="35" t="str">
        <f t="shared" si="1"/>
        <v>Passa</v>
      </c>
      <c r="P106" s="35" t="str">
        <f t="shared" si="2"/>
        <v>Passa</v>
      </c>
      <c r="Q106" s="38">
        <f>IF(AND(O106="Negada",P106="Negada"),0,IF(A106="Ativo",M106*0.08,0))</f>
        <v>0</v>
      </c>
    </row>
    <row r="107" spans="1:17" ht="15.75" customHeight="1">
      <c r="A107" s="35" t="s">
        <v>77</v>
      </c>
      <c r="B107" s="35" t="s">
        <v>119</v>
      </c>
      <c r="C107" s="35" t="s">
        <v>313</v>
      </c>
      <c r="D107" s="35" t="str">
        <f t="shared" si="4"/>
        <v>000.000.196-00</v>
      </c>
      <c r="E107" s="36">
        <v>24905</v>
      </c>
      <c r="F107" s="37">
        <v>58</v>
      </c>
      <c r="G107" s="35" t="s">
        <v>108</v>
      </c>
      <c r="H107" s="35" t="s">
        <v>109</v>
      </c>
      <c r="I107" s="38">
        <v>12400</v>
      </c>
      <c r="J107" s="38">
        <v>21500</v>
      </c>
      <c r="K107" s="35" t="s">
        <v>50</v>
      </c>
      <c r="L107" s="37">
        <v>24</v>
      </c>
      <c r="M107" s="38">
        <v>80000</v>
      </c>
      <c r="N107" s="35" t="str">
        <f t="shared" si="0"/>
        <v>Médio</v>
      </c>
      <c r="O107" s="35" t="str">
        <f t="shared" si="1"/>
        <v>Passa</v>
      </c>
      <c r="P107" s="35" t="str">
        <f t="shared" si="2"/>
        <v>Passa</v>
      </c>
      <c r="Q107" s="38">
        <f>IF(AND(O107="Negada",P107="Negada"),0,IF(A107="Ativo",M107*0.08,0))</f>
        <v>6400</v>
      </c>
    </row>
    <row r="108" spans="1:17" ht="15.75" customHeight="1">
      <c r="A108" s="35" t="s">
        <v>77</v>
      </c>
      <c r="B108" s="35" t="s">
        <v>314</v>
      </c>
      <c r="C108" s="35" t="s">
        <v>315</v>
      </c>
      <c r="D108" s="35" t="str">
        <f t="shared" si="4"/>
        <v>000.000.240-00</v>
      </c>
      <c r="E108" s="36">
        <v>29031</v>
      </c>
      <c r="F108" s="37">
        <v>47</v>
      </c>
      <c r="G108" s="35" t="s">
        <v>108</v>
      </c>
      <c r="H108" s="35" t="s">
        <v>109</v>
      </c>
      <c r="I108" s="38">
        <v>28400</v>
      </c>
      <c r="J108" s="38">
        <v>78000</v>
      </c>
      <c r="K108" s="35" t="s">
        <v>49</v>
      </c>
      <c r="L108" s="37">
        <v>37</v>
      </c>
      <c r="M108" s="38">
        <v>99000</v>
      </c>
      <c r="N108" s="35" t="str">
        <f t="shared" si="0"/>
        <v>Alto</v>
      </c>
      <c r="O108" s="35" t="str">
        <f t="shared" si="1"/>
        <v>Passa</v>
      </c>
      <c r="P108" s="35" t="str">
        <f t="shared" si="2"/>
        <v>Passa</v>
      </c>
      <c r="Q108" s="38">
        <f>IF(AND(O108="Negada",P108="Negada"),0,IF(A108="Ativo",M108*0.08,0))</f>
        <v>7920</v>
      </c>
    </row>
    <row r="109" spans="1:17" ht="15.75" customHeight="1">
      <c r="A109" s="35" t="s">
        <v>77</v>
      </c>
      <c r="B109" s="35" t="s">
        <v>316</v>
      </c>
      <c r="C109" s="35" t="s">
        <v>317</v>
      </c>
      <c r="D109" s="35" t="str">
        <f t="shared" si="4"/>
        <v>000.000.170-00</v>
      </c>
      <c r="E109" s="36">
        <v>34852</v>
      </c>
      <c r="F109" s="37">
        <v>31</v>
      </c>
      <c r="G109" s="35" t="s">
        <v>146</v>
      </c>
      <c r="H109" s="35" t="s">
        <v>128</v>
      </c>
      <c r="I109" s="38">
        <v>20500</v>
      </c>
      <c r="J109" s="38">
        <v>47500</v>
      </c>
      <c r="K109" s="35" t="s">
        <v>49</v>
      </c>
      <c r="L109" s="37">
        <v>11</v>
      </c>
      <c r="M109" s="38">
        <v>18500</v>
      </c>
      <c r="N109" s="35" t="str">
        <f t="shared" si="0"/>
        <v>Médio</v>
      </c>
      <c r="O109" s="35" t="str">
        <f t="shared" si="1"/>
        <v>Passa</v>
      </c>
      <c r="P109" s="35" t="str">
        <f t="shared" si="2"/>
        <v>Passa</v>
      </c>
      <c r="Q109" s="38">
        <f>IF(AND(O109="Negada",P109="Negada"),0,IF(A109="Ativo",M109*0.08,0))</f>
        <v>1480</v>
      </c>
    </row>
    <row r="110" spans="1:17" ht="15.75" customHeight="1">
      <c r="A110" s="35" t="s">
        <v>318</v>
      </c>
      <c r="B110" s="35" t="s">
        <v>319</v>
      </c>
      <c r="C110" s="35" t="s">
        <v>320</v>
      </c>
      <c r="D110" s="35" t="str">
        <f t="shared" si="4"/>
        <v>000.000.047-00</v>
      </c>
      <c r="E110" s="36">
        <v>23084</v>
      </c>
      <c r="F110" s="37">
        <v>63</v>
      </c>
      <c r="G110" s="35" t="s">
        <v>133</v>
      </c>
      <c r="H110" s="35" t="s">
        <v>134</v>
      </c>
      <c r="I110" s="38">
        <v>17300</v>
      </c>
      <c r="J110" s="38">
        <v>22000</v>
      </c>
      <c r="K110" s="35" t="s">
        <v>49</v>
      </c>
      <c r="L110" s="37">
        <v>10</v>
      </c>
      <c r="M110" s="38">
        <v>97000</v>
      </c>
      <c r="N110" s="35" t="str">
        <f t="shared" si="0"/>
        <v>Baixo</v>
      </c>
      <c r="O110" s="35" t="str">
        <f t="shared" si="1"/>
        <v>Passa</v>
      </c>
      <c r="P110" s="35" t="str">
        <f t="shared" si="2"/>
        <v>Passa</v>
      </c>
      <c r="Q110" s="38">
        <f>IF(AND(O110="Negada",P110="Negada"),0,IF(A110="Ativo",M110*0.08,0))</f>
        <v>0</v>
      </c>
    </row>
    <row r="111" spans="1:17" ht="15.75" customHeight="1">
      <c r="A111" s="35" t="s">
        <v>77</v>
      </c>
      <c r="B111" s="35" t="s">
        <v>321</v>
      </c>
      <c r="C111" s="35" t="s">
        <v>322</v>
      </c>
      <c r="D111" s="35" t="str">
        <f t="shared" si="4"/>
        <v>000.000.127-00</v>
      </c>
      <c r="E111" s="36">
        <v>36518</v>
      </c>
      <c r="F111" s="37">
        <v>26</v>
      </c>
      <c r="G111" s="35" t="s">
        <v>139</v>
      </c>
      <c r="H111" s="35" t="s">
        <v>128</v>
      </c>
      <c r="I111" s="38">
        <v>5000</v>
      </c>
      <c r="J111" s="38">
        <v>61500</v>
      </c>
      <c r="K111" s="35" t="s">
        <v>49</v>
      </c>
      <c r="L111" s="37">
        <v>35</v>
      </c>
      <c r="M111" s="38">
        <v>18500</v>
      </c>
      <c r="N111" s="35" t="str">
        <f t="shared" si="0"/>
        <v>Alto</v>
      </c>
      <c r="O111" s="35" t="str">
        <f t="shared" si="1"/>
        <v>Passa</v>
      </c>
      <c r="P111" s="35" t="str">
        <f t="shared" si="2"/>
        <v>Passa</v>
      </c>
      <c r="Q111" s="38">
        <f>IF(AND(O111="Negada",P111="Negada"),0,IF(A111="Ativo",M111*0.08,0))</f>
        <v>1480</v>
      </c>
    </row>
    <row r="112" spans="1:17" ht="15.75" customHeight="1">
      <c r="A112" s="35" t="s">
        <v>77</v>
      </c>
      <c r="B112" s="35" t="s">
        <v>323</v>
      </c>
      <c r="C112" s="35" t="s">
        <v>324</v>
      </c>
      <c r="D112" s="35" t="str">
        <f t="shared" si="4"/>
        <v>000.000.180-00</v>
      </c>
      <c r="E112" s="36">
        <v>35344</v>
      </c>
      <c r="F112" s="37">
        <v>29</v>
      </c>
      <c r="G112" s="35" t="s">
        <v>80</v>
      </c>
      <c r="H112" s="35" t="s">
        <v>81</v>
      </c>
      <c r="I112" s="38">
        <v>19900</v>
      </c>
      <c r="J112" s="38">
        <v>49500</v>
      </c>
      <c r="K112" s="35" t="s">
        <v>50</v>
      </c>
      <c r="L112" s="37">
        <v>27</v>
      </c>
      <c r="M112" s="38">
        <v>23000</v>
      </c>
      <c r="N112" s="35" t="str">
        <f t="shared" si="0"/>
        <v>Alto</v>
      </c>
      <c r="O112" s="35" t="str">
        <f t="shared" si="1"/>
        <v>Negada</v>
      </c>
      <c r="P112" s="35" t="str">
        <f t="shared" si="2"/>
        <v>Passa</v>
      </c>
      <c r="Q112" s="38">
        <f>IF(AND(O112="Negada",P112="Negada"),0,IF(A112="Ativo",M112*0.08,0))</f>
        <v>1840</v>
      </c>
    </row>
    <row r="113" spans="1:17" ht="15.75" customHeight="1">
      <c r="A113" s="35" t="s">
        <v>77</v>
      </c>
      <c r="B113" s="35" t="s">
        <v>325</v>
      </c>
      <c r="C113" s="35" t="s">
        <v>326</v>
      </c>
      <c r="D113" s="35" t="str">
        <f t="shared" si="4"/>
        <v>000.000.342-00</v>
      </c>
      <c r="E113" s="36">
        <v>27413</v>
      </c>
      <c r="F113" s="37">
        <v>51</v>
      </c>
      <c r="G113" s="35" t="s">
        <v>146</v>
      </c>
      <c r="H113" s="35" t="s">
        <v>128</v>
      </c>
      <c r="I113" s="38">
        <v>18500</v>
      </c>
      <c r="J113" s="38">
        <v>69500</v>
      </c>
      <c r="K113" s="35" t="s">
        <v>49</v>
      </c>
      <c r="L113" s="37">
        <v>31</v>
      </c>
      <c r="M113" s="38">
        <v>18000</v>
      </c>
      <c r="N113" s="35" t="str">
        <f t="shared" si="0"/>
        <v>Alto</v>
      </c>
      <c r="O113" s="35" t="str">
        <f t="shared" si="1"/>
        <v>Passa</v>
      </c>
      <c r="P113" s="35" t="str">
        <f t="shared" si="2"/>
        <v>Passa</v>
      </c>
      <c r="Q113" s="38">
        <f>IF(AND(O113="Negada",P113="Negada"),0,IF(A113="Ativo",M113*0.08,0))</f>
        <v>1440</v>
      </c>
    </row>
    <row r="114" spans="1:17" ht="15.75" customHeight="1">
      <c r="A114" s="35" t="s">
        <v>77</v>
      </c>
      <c r="B114" s="35" t="s">
        <v>327</v>
      </c>
      <c r="C114" s="35" t="s">
        <v>328</v>
      </c>
      <c r="D114" s="35" t="str">
        <f t="shared" si="4"/>
        <v>000.000.234-00</v>
      </c>
      <c r="E114" s="36">
        <v>29197</v>
      </c>
      <c r="F114" s="37">
        <v>46</v>
      </c>
      <c r="G114" s="35" t="s">
        <v>108</v>
      </c>
      <c r="H114" s="35" t="s">
        <v>109</v>
      </c>
      <c r="I114" s="38">
        <v>3200</v>
      </c>
      <c r="J114" s="38">
        <v>0</v>
      </c>
      <c r="K114" s="35" t="s">
        <v>49</v>
      </c>
      <c r="L114" s="37">
        <v>16</v>
      </c>
      <c r="M114" s="38">
        <v>61500</v>
      </c>
      <c r="N114" s="35" t="str">
        <f t="shared" si="0"/>
        <v>Médio</v>
      </c>
      <c r="O114" s="35" t="str">
        <f t="shared" si="1"/>
        <v>Passa</v>
      </c>
      <c r="P114" s="35" t="str">
        <f t="shared" si="2"/>
        <v>Passa</v>
      </c>
      <c r="Q114" s="38">
        <f>IF(AND(O114="Negada",P114="Negada"),0,IF(A114="Ativo",M114*0.08,0))</f>
        <v>4920</v>
      </c>
    </row>
    <row r="115" spans="1:17" ht="15.75" customHeight="1">
      <c r="A115" s="35" t="s">
        <v>77</v>
      </c>
      <c r="B115" s="35" t="s">
        <v>329</v>
      </c>
      <c r="C115" s="35" t="s">
        <v>330</v>
      </c>
      <c r="D115" s="35" t="str">
        <f t="shared" si="4"/>
        <v>000.000.228-00</v>
      </c>
      <c r="E115" s="36">
        <v>22505</v>
      </c>
      <c r="F115" s="37">
        <v>65</v>
      </c>
      <c r="G115" s="35" t="s">
        <v>139</v>
      </c>
      <c r="H115" s="35" t="s">
        <v>128</v>
      </c>
      <c r="I115" s="38">
        <v>29000</v>
      </c>
      <c r="J115" s="38">
        <v>28500</v>
      </c>
      <c r="K115" s="35" t="s">
        <v>49</v>
      </c>
      <c r="L115" s="37">
        <v>28</v>
      </c>
      <c r="M115" s="38">
        <v>57500</v>
      </c>
      <c r="N115" s="35" t="str">
        <f t="shared" si="0"/>
        <v>Alto</v>
      </c>
      <c r="O115" s="35" t="str">
        <f t="shared" si="1"/>
        <v>Passa</v>
      </c>
      <c r="P115" s="35" t="str">
        <f t="shared" si="2"/>
        <v>Passa</v>
      </c>
      <c r="Q115" s="38">
        <f>IF(AND(O115="Negada",P115="Negada"),0,IF(A115="Ativo",M115*0.08,0))</f>
        <v>4600</v>
      </c>
    </row>
    <row r="116" spans="1:17" ht="15.75" customHeight="1">
      <c r="A116" s="35" t="s">
        <v>77</v>
      </c>
      <c r="B116" s="35" t="s">
        <v>331</v>
      </c>
      <c r="C116" s="35" t="s">
        <v>332</v>
      </c>
      <c r="D116" s="35" t="str">
        <f t="shared" si="4"/>
        <v>000.000.167-00</v>
      </c>
      <c r="E116" s="36">
        <v>36475</v>
      </c>
      <c r="F116" s="37">
        <v>26</v>
      </c>
      <c r="G116" s="35" t="s">
        <v>151</v>
      </c>
      <c r="H116" s="35" t="s">
        <v>124</v>
      </c>
      <c r="I116" s="38">
        <v>13900</v>
      </c>
      <c r="J116" s="38">
        <v>53500</v>
      </c>
      <c r="K116" s="35" t="s">
        <v>49</v>
      </c>
      <c r="L116" s="37">
        <v>12</v>
      </c>
      <c r="M116" s="38">
        <v>85000</v>
      </c>
      <c r="N116" s="35" t="str">
        <f t="shared" si="0"/>
        <v>Médio</v>
      </c>
      <c r="O116" s="35" t="str">
        <f t="shared" si="1"/>
        <v>Passa</v>
      </c>
      <c r="P116" s="35" t="str">
        <f t="shared" si="2"/>
        <v>Passa</v>
      </c>
      <c r="Q116" s="38">
        <f>IF(AND(O116="Negada",P116="Negada"),0,IF(A116="Ativo",M116*0.08,0))</f>
        <v>6800</v>
      </c>
    </row>
    <row r="117" spans="1:17" ht="15.75" customHeight="1">
      <c r="A117" s="35" t="s">
        <v>82</v>
      </c>
      <c r="B117" s="35" t="s">
        <v>333</v>
      </c>
      <c r="C117" s="35" t="s">
        <v>334</v>
      </c>
      <c r="D117" s="35" t="str">
        <f t="shared" si="4"/>
        <v>000.000.087-00</v>
      </c>
      <c r="E117" s="36">
        <v>22994</v>
      </c>
      <c r="F117" s="37">
        <v>63</v>
      </c>
      <c r="G117" s="35" t="s">
        <v>92</v>
      </c>
      <c r="H117" s="35" t="s">
        <v>93</v>
      </c>
      <c r="I117" s="38">
        <v>20000</v>
      </c>
      <c r="J117" s="38">
        <v>29500</v>
      </c>
      <c r="K117" s="35" t="s">
        <v>49</v>
      </c>
      <c r="L117" s="37">
        <v>42</v>
      </c>
      <c r="M117" s="38">
        <v>5000</v>
      </c>
      <c r="N117" s="35" t="str">
        <f t="shared" si="0"/>
        <v>Alto</v>
      </c>
      <c r="O117" s="35" t="str">
        <f t="shared" si="1"/>
        <v>Passa</v>
      </c>
      <c r="P117" s="35" t="str">
        <f t="shared" si="2"/>
        <v>Passa</v>
      </c>
      <c r="Q117" s="38">
        <f>IF(AND(O117="Negada",P117="Negada"),0,IF(A117="Ativo",M117*0.08,0))</f>
        <v>0</v>
      </c>
    </row>
    <row r="118" spans="1:17" ht="15.75" customHeight="1">
      <c r="A118" s="35" t="s">
        <v>77</v>
      </c>
      <c r="B118" s="35" t="s">
        <v>335</v>
      </c>
      <c r="C118" s="35" t="s">
        <v>336</v>
      </c>
      <c r="D118" s="35" t="str">
        <f t="shared" si="4"/>
        <v>000.000.279-00</v>
      </c>
      <c r="E118" s="36">
        <v>20094</v>
      </c>
      <c r="F118" s="37">
        <v>71</v>
      </c>
      <c r="G118" s="35" t="s">
        <v>190</v>
      </c>
      <c r="H118" s="35" t="s">
        <v>134</v>
      </c>
      <c r="I118" s="38">
        <v>24100</v>
      </c>
      <c r="J118" s="38">
        <v>0</v>
      </c>
      <c r="K118" s="35" t="s">
        <v>49</v>
      </c>
      <c r="L118" s="37">
        <v>10</v>
      </c>
      <c r="M118" s="38">
        <v>87000</v>
      </c>
      <c r="N118" s="35" t="str">
        <f t="shared" si="0"/>
        <v>Baixo</v>
      </c>
      <c r="O118" s="35" t="str">
        <f t="shared" si="1"/>
        <v>Passa</v>
      </c>
      <c r="P118" s="35" t="str">
        <f t="shared" si="2"/>
        <v>Passa</v>
      </c>
      <c r="Q118" s="38">
        <f>IF(AND(O118="Negada",P118="Negada"),0,IF(A118="Ativo",M118*0.08,0))</f>
        <v>6960</v>
      </c>
    </row>
    <row r="119" spans="1:17" ht="15.75" customHeight="1">
      <c r="A119" s="35" t="s">
        <v>77</v>
      </c>
      <c r="B119" s="35" t="s">
        <v>337</v>
      </c>
      <c r="C119" s="35"/>
      <c r="D119" s="35" t="str">
        <f t="shared" si="4"/>
        <v>000.000.000-00</v>
      </c>
      <c r="E119" s="36">
        <v>19538</v>
      </c>
      <c r="F119" s="37">
        <v>73</v>
      </c>
      <c r="G119" s="35" t="s">
        <v>88</v>
      </c>
      <c r="H119" s="35" t="s">
        <v>89</v>
      </c>
      <c r="I119" s="38">
        <v>12700</v>
      </c>
      <c r="J119" s="38">
        <v>79500</v>
      </c>
      <c r="K119" s="35" t="s">
        <v>49</v>
      </c>
      <c r="L119" s="37">
        <v>35</v>
      </c>
      <c r="M119" s="38">
        <v>39000</v>
      </c>
      <c r="N119" s="35" t="str">
        <f t="shared" si="0"/>
        <v>Alto</v>
      </c>
      <c r="O119" s="35" t="str">
        <f t="shared" si="1"/>
        <v>Passa</v>
      </c>
      <c r="P119" s="35" t="str">
        <f t="shared" si="2"/>
        <v>Passa</v>
      </c>
      <c r="Q119" s="38">
        <f>IF(AND(O119="Negada",P119="Negada"),0,IF(A119="Ativo",M119*0.08,0))</f>
        <v>3120</v>
      </c>
    </row>
    <row r="120" spans="1:17" ht="15.75" customHeight="1">
      <c r="A120" s="35" t="s">
        <v>77</v>
      </c>
      <c r="B120" s="35" t="s">
        <v>338</v>
      </c>
      <c r="C120" s="35" t="s">
        <v>339</v>
      </c>
      <c r="D120" s="35" t="str">
        <f t="shared" si="4"/>
        <v>000.000.264-00</v>
      </c>
      <c r="E120" s="36">
        <v>25238</v>
      </c>
      <c r="F120" s="37">
        <v>57</v>
      </c>
      <c r="G120" s="35" t="s">
        <v>151</v>
      </c>
      <c r="H120" s="35" t="s">
        <v>124</v>
      </c>
      <c r="I120" s="38">
        <v>3200</v>
      </c>
      <c r="J120" s="38"/>
      <c r="K120" s="35" t="s">
        <v>49</v>
      </c>
      <c r="L120" s="37">
        <v>18</v>
      </c>
      <c r="M120" s="38">
        <v>64000</v>
      </c>
      <c r="N120" s="35" t="str">
        <f t="shared" si="0"/>
        <v>Médio</v>
      </c>
      <c r="O120" s="35" t="str">
        <f t="shared" si="1"/>
        <v>Passa</v>
      </c>
      <c r="P120" s="35" t="str">
        <f t="shared" si="2"/>
        <v>Passa</v>
      </c>
      <c r="Q120" s="38">
        <f>IF(AND(O120="Negada",P120="Negada"),0,IF(A120="Ativo",M120*0.08,0))</f>
        <v>5120</v>
      </c>
    </row>
    <row r="121" spans="1:17" ht="15.75" customHeight="1">
      <c r="A121" s="35" t="s">
        <v>77</v>
      </c>
      <c r="B121" s="35" t="s">
        <v>340</v>
      </c>
      <c r="C121" s="35" t="s">
        <v>341</v>
      </c>
      <c r="D121" s="35" t="str">
        <f t="shared" si="4"/>
        <v>000.000.099-00</v>
      </c>
      <c r="E121" s="36">
        <v>22828</v>
      </c>
      <c r="F121" s="37">
        <v>64</v>
      </c>
      <c r="G121" s="35" t="s">
        <v>151</v>
      </c>
      <c r="H121" s="35" t="s">
        <v>124</v>
      </c>
      <c r="I121" s="38">
        <v>2900</v>
      </c>
      <c r="J121" s="38">
        <v>76000</v>
      </c>
      <c r="K121" s="35" t="s">
        <v>49</v>
      </c>
      <c r="L121" s="37">
        <v>32</v>
      </c>
      <c r="M121" s="38">
        <v>72500</v>
      </c>
      <c r="N121" s="35" t="str">
        <f t="shared" si="0"/>
        <v>Alto</v>
      </c>
      <c r="O121" s="35" t="str">
        <f t="shared" si="1"/>
        <v>Passa</v>
      </c>
      <c r="P121" s="35" t="str">
        <f t="shared" si="2"/>
        <v>Passa</v>
      </c>
      <c r="Q121" s="38">
        <f>IF(AND(O121="Negada",P121="Negada"),0,IF(A121="Ativo",M121*0.08,0))</f>
        <v>5800</v>
      </c>
    </row>
    <row r="122" spans="1:17" ht="15.75" customHeight="1">
      <c r="A122" s="35" t="s">
        <v>82</v>
      </c>
      <c r="B122" s="35" t="s">
        <v>342</v>
      </c>
      <c r="C122" s="35" t="s">
        <v>343</v>
      </c>
      <c r="D122" s="35" t="str">
        <f t="shared" si="4"/>
        <v>000.000.160-00</v>
      </c>
      <c r="E122" s="36">
        <v>19299</v>
      </c>
      <c r="F122" s="37">
        <v>73</v>
      </c>
      <c r="G122" s="35" t="s">
        <v>84</v>
      </c>
      <c r="H122" s="35" t="s">
        <v>85</v>
      </c>
      <c r="I122" s="38">
        <v>7100</v>
      </c>
      <c r="J122" s="38">
        <v>58000</v>
      </c>
      <c r="K122" s="35" t="s">
        <v>50</v>
      </c>
      <c r="L122" s="37">
        <v>22</v>
      </c>
      <c r="M122" s="38">
        <v>46500</v>
      </c>
      <c r="N122" s="35" t="str">
        <f t="shared" si="0"/>
        <v>Médio</v>
      </c>
      <c r="O122" s="35" t="str">
        <f t="shared" si="1"/>
        <v>Passa</v>
      </c>
      <c r="P122" s="35" t="str">
        <f t="shared" si="2"/>
        <v>Negada</v>
      </c>
      <c r="Q122" s="38">
        <f>IF(AND(O122="Negada",P122="Negada"),0,IF(A122="Ativo",M122*0.08,0))</f>
        <v>0</v>
      </c>
    </row>
    <row r="123" spans="1:17" ht="15.75" customHeight="1">
      <c r="A123" s="35" t="s">
        <v>77</v>
      </c>
      <c r="B123" s="35" t="s">
        <v>344</v>
      </c>
      <c r="C123" s="35" t="s">
        <v>345</v>
      </c>
      <c r="D123" s="35" t="str">
        <f t="shared" si="4"/>
        <v>000.000.141-00</v>
      </c>
      <c r="E123" s="36">
        <v>35993</v>
      </c>
      <c r="F123" s="37">
        <v>28</v>
      </c>
      <c r="G123" s="35" t="s">
        <v>98</v>
      </c>
      <c r="H123" s="35" t="s">
        <v>99</v>
      </c>
      <c r="I123" s="38">
        <v>13400</v>
      </c>
      <c r="J123" s="38">
        <v>54000</v>
      </c>
      <c r="K123" s="35" t="s">
        <v>49</v>
      </c>
      <c r="L123" s="37">
        <v>15</v>
      </c>
      <c r="M123" s="38">
        <v>99000</v>
      </c>
      <c r="N123" s="35" t="str">
        <f t="shared" si="0"/>
        <v>Médio</v>
      </c>
      <c r="O123" s="35" t="str">
        <f t="shared" si="1"/>
        <v>Passa</v>
      </c>
      <c r="P123" s="35" t="str">
        <f t="shared" si="2"/>
        <v>Passa</v>
      </c>
      <c r="Q123" s="38">
        <f>IF(AND(O123="Negada",P123="Negada"),0,IF(A123="Ativo",M123*0.08,0))</f>
        <v>7920</v>
      </c>
    </row>
    <row r="124" spans="1:17" ht="15.75" customHeight="1">
      <c r="A124" s="35" t="s">
        <v>77</v>
      </c>
      <c r="B124" s="35" t="s">
        <v>346</v>
      </c>
      <c r="C124" s="35" t="s">
        <v>347</v>
      </c>
      <c r="D124" s="35" t="str">
        <f t="shared" si="4"/>
        <v>000.000.375-00</v>
      </c>
      <c r="E124" s="36">
        <v>36622</v>
      </c>
      <c r="F124" s="37">
        <v>26</v>
      </c>
      <c r="G124" s="35" t="s">
        <v>165</v>
      </c>
      <c r="H124" s="35" t="s">
        <v>165</v>
      </c>
      <c r="I124" s="38">
        <v>22900</v>
      </c>
      <c r="J124" s="38">
        <v>65500</v>
      </c>
      <c r="K124" s="35" t="s">
        <v>50</v>
      </c>
      <c r="L124" s="37">
        <v>40</v>
      </c>
      <c r="M124" s="38">
        <v>95500</v>
      </c>
      <c r="N124" s="35" t="str">
        <f t="shared" si="0"/>
        <v>Alto</v>
      </c>
      <c r="O124" s="35" t="str">
        <f t="shared" si="1"/>
        <v>Negada</v>
      </c>
      <c r="P124" s="35" t="str">
        <f t="shared" si="2"/>
        <v>Negada</v>
      </c>
      <c r="Q124" s="38">
        <f>IF(AND(O124="Negada",P124="Negada"),0,IF(A124="Ativo",M124*0.08,0))</f>
        <v>0</v>
      </c>
    </row>
    <row r="125" spans="1:17" ht="15.75" customHeight="1">
      <c r="A125" s="35" t="s">
        <v>77</v>
      </c>
      <c r="B125" s="35" t="s">
        <v>348</v>
      </c>
      <c r="C125" s="35" t="s">
        <v>349</v>
      </c>
      <c r="D125" s="35" t="str">
        <f t="shared" si="4"/>
        <v>000.000.152-00</v>
      </c>
      <c r="E125" s="36">
        <v>21051</v>
      </c>
      <c r="F125" s="37">
        <v>69</v>
      </c>
      <c r="G125" s="35" t="s">
        <v>84</v>
      </c>
      <c r="H125" s="35" t="s">
        <v>85</v>
      </c>
      <c r="I125" s="38">
        <v>25100</v>
      </c>
      <c r="J125" s="38">
        <v>40500</v>
      </c>
      <c r="K125" s="35" t="s">
        <v>49</v>
      </c>
      <c r="L125" s="37">
        <v>43</v>
      </c>
      <c r="M125" s="38">
        <v>24500</v>
      </c>
      <c r="N125" s="35" t="str">
        <f t="shared" si="0"/>
        <v>Alto</v>
      </c>
      <c r="O125" s="35" t="str">
        <f t="shared" si="1"/>
        <v>Passa</v>
      </c>
      <c r="P125" s="35" t="str">
        <f t="shared" si="2"/>
        <v>Passa</v>
      </c>
      <c r="Q125" s="38">
        <f>IF(AND(O125="Negada",P125="Negada"),0,IF(A125="Ativo",M125*0.08,0))</f>
        <v>1960</v>
      </c>
    </row>
    <row r="126" spans="1:17" ht="15.75" customHeight="1">
      <c r="A126" s="35" t="s">
        <v>77</v>
      </c>
      <c r="B126" s="35" t="s">
        <v>350</v>
      </c>
      <c r="C126" s="35" t="s">
        <v>351</v>
      </c>
      <c r="D126" s="35" t="str">
        <f t="shared" si="4"/>
        <v>000.000.075-00</v>
      </c>
      <c r="E126" s="36">
        <v>21624</v>
      </c>
      <c r="F126" s="37">
        <v>67</v>
      </c>
      <c r="G126" s="35" t="s">
        <v>153</v>
      </c>
      <c r="H126" s="35" t="s">
        <v>128</v>
      </c>
      <c r="I126" s="38">
        <v>8500</v>
      </c>
      <c r="J126" s="38">
        <v>39500</v>
      </c>
      <c r="K126" s="35" t="s">
        <v>50</v>
      </c>
      <c r="L126" s="37"/>
      <c r="M126" s="38">
        <v>42000</v>
      </c>
      <c r="N126" s="35" t="str">
        <f t="shared" si="0"/>
        <v/>
      </c>
      <c r="O126" s="35" t="str">
        <f t="shared" si="1"/>
        <v>Passa</v>
      </c>
      <c r="P126" s="35" t="str">
        <f t="shared" si="2"/>
        <v>Passa</v>
      </c>
      <c r="Q126" s="38">
        <f>IF(AND(O126="Negada",P126="Negada"),0,IF(A126="Ativo",M126*0.08,0))</f>
        <v>3360</v>
      </c>
    </row>
    <row r="127" spans="1:17" ht="15.75" customHeight="1">
      <c r="A127" s="35" t="s">
        <v>77</v>
      </c>
      <c r="B127" s="35" t="s">
        <v>352</v>
      </c>
      <c r="C127" s="35" t="s">
        <v>353</v>
      </c>
      <c r="D127" s="35" t="str">
        <f t="shared" si="4"/>
        <v>000.000.314-00</v>
      </c>
      <c r="E127" s="36">
        <v>26584</v>
      </c>
      <c r="F127" s="37">
        <v>53</v>
      </c>
      <c r="G127" s="35" t="s">
        <v>146</v>
      </c>
      <c r="H127" s="35" t="s">
        <v>128</v>
      </c>
      <c r="I127" s="38">
        <v>12200</v>
      </c>
      <c r="J127" s="38">
        <v>79500</v>
      </c>
      <c r="K127" s="35" t="s">
        <v>49</v>
      </c>
      <c r="L127" s="37">
        <v>45</v>
      </c>
      <c r="M127" s="38">
        <v>57000</v>
      </c>
      <c r="N127" s="35" t="str">
        <f t="shared" si="0"/>
        <v>Alto</v>
      </c>
      <c r="O127" s="35" t="str">
        <f t="shared" si="1"/>
        <v>Passa</v>
      </c>
      <c r="P127" s="35" t="str">
        <f t="shared" si="2"/>
        <v>Passa</v>
      </c>
      <c r="Q127" s="38">
        <f>IF(AND(O127="Negada",P127="Negada"),0,IF(A127="Ativo",M127*0.08,0))</f>
        <v>4560</v>
      </c>
    </row>
    <row r="128" spans="1:17" ht="15.75" customHeight="1">
      <c r="A128" s="35" t="s">
        <v>77</v>
      </c>
      <c r="B128" s="35" t="s">
        <v>354</v>
      </c>
      <c r="C128" s="35" t="s">
        <v>355</v>
      </c>
      <c r="D128" s="35" t="str">
        <f t="shared" si="4"/>
        <v>000.000.297-00</v>
      </c>
      <c r="E128" s="36">
        <v>25880</v>
      </c>
      <c r="F128" s="37">
        <v>55</v>
      </c>
      <c r="G128" s="35" t="s">
        <v>84</v>
      </c>
      <c r="H128" s="35" t="s">
        <v>85</v>
      </c>
      <c r="I128" s="38">
        <v>27500</v>
      </c>
      <c r="J128" s="38">
        <v>14000</v>
      </c>
      <c r="K128" s="35" t="s">
        <v>49</v>
      </c>
      <c r="L128" s="37">
        <v>3</v>
      </c>
      <c r="M128" s="38">
        <v>11500</v>
      </c>
      <c r="N128" s="35" t="str">
        <f t="shared" si="0"/>
        <v>Baixo</v>
      </c>
      <c r="O128" s="35" t="str">
        <f t="shared" si="1"/>
        <v>Passa</v>
      </c>
      <c r="P128" s="35" t="str">
        <f t="shared" si="2"/>
        <v>Passa</v>
      </c>
      <c r="Q128" s="38">
        <f>IF(AND(O128="Negada",P128="Negada"),0,IF(A128="Ativo",M128*0.08,0))</f>
        <v>920</v>
      </c>
    </row>
    <row r="129" spans="1:17" ht="15.75" customHeight="1">
      <c r="A129" s="35" t="s">
        <v>77</v>
      </c>
      <c r="B129" s="35" t="s">
        <v>296</v>
      </c>
      <c r="C129" s="35" t="s">
        <v>356</v>
      </c>
      <c r="D129" s="35" t="str">
        <f t="shared" si="4"/>
        <v>000.000.089-00</v>
      </c>
      <c r="E129" s="36">
        <v>33473</v>
      </c>
      <c r="F129" s="37">
        <v>35</v>
      </c>
      <c r="G129" s="35" t="s">
        <v>215</v>
      </c>
      <c r="H129" s="35" t="s">
        <v>216</v>
      </c>
      <c r="I129" s="38">
        <v>24000</v>
      </c>
      <c r="J129" s="38">
        <v>0</v>
      </c>
      <c r="K129" s="35" t="s">
        <v>50</v>
      </c>
      <c r="L129" s="37">
        <v>3</v>
      </c>
      <c r="M129" s="38">
        <v>60000</v>
      </c>
      <c r="N129" s="35" t="str">
        <f t="shared" si="0"/>
        <v>Baixo</v>
      </c>
      <c r="O129" s="35" t="str">
        <f t="shared" si="1"/>
        <v>Passa</v>
      </c>
      <c r="P129" s="35" t="str">
        <f t="shared" si="2"/>
        <v>Passa</v>
      </c>
      <c r="Q129" s="38">
        <f>IF(AND(O129="Negada",P129="Negada"),0,IF(A129="Ativo",M129*0.08,0))</f>
        <v>4800</v>
      </c>
    </row>
    <row r="130" spans="1:17" ht="15.75" customHeight="1">
      <c r="A130" s="35" t="s">
        <v>82</v>
      </c>
      <c r="B130" s="35" t="s">
        <v>245</v>
      </c>
      <c r="C130" s="35" t="s">
        <v>357</v>
      </c>
      <c r="D130" s="35" t="str">
        <f t="shared" si="4"/>
        <v>000.000.083-00</v>
      </c>
      <c r="E130" s="36">
        <v>34828</v>
      </c>
      <c r="F130" s="37">
        <v>31</v>
      </c>
      <c r="G130" s="35" t="s">
        <v>197</v>
      </c>
      <c r="H130" s="35" t="s">
        <v>89</v>
      </c>
      <c r="I130" s="38">
        <v>24900</v>
      </c>
      <c r="J130" s="38">
        <v>72000</v>
      </c>
      <c r="K130" s="35" t="s">
        <v>49</v>
      </c>
      <c r="L130" s="37">
        <v>35</v>
      </c>
      <c r="M130" s="38">
        <v>79000</v>
      </c>
      <c r="N130" s="35" t="str">
        <f t="shared" si="0"/>
        <v>Alto</v>
      </c>
      <c r="O130" s="35" t="str">
        <f t="shared" si="1"/>
        <v>Passa</v>
      </c>
      <c r="P130" s="35" t="str">
        <f t="shared" si="2"/>
        <v>Passa</v>
      </c>
      <c r="Q130" s="38">
        <f>IF(AND(O130="Negada",P130="Negada"),0,IF(A130="Ativo",M130*0.08,0))</f>
        <v>0</v>
      </c>
    </row>
    <row r="131" spans="1:17" ht="15.75" customHeight="1">
      <c r="A131" s="35" t="s">
        <v>77</v>
      </c>
      <c r="B131" s="35" t="s">
        <v>358</v>
      </c>
      <c r="C131" s="35" t="s">
        <v>359</v>
      </c>
      <c r="D131" s="35" t="str">
        <f t="shared" ref="D131:D194" si="5">TEXT(C131,"000\.000\.000\-00")</f>
        <v>000.000.038-00</v>
      </c>
      <c r="E131" s="36">
        <v>30992</v>
      </c>
      <c r="F131" s="37">
        <v>41</v>
      </c>
      <c r="G131" s="35" t="s">
        <v>98</v>
      </c>
      <c r="H131" s="35" t="s">
        <v>99</v>
      </c>
      <c r="I131" s="38">
        <v>28600</v>
      </c>
      <c r="J131" s="38">
        <v>67500</v>
      </c>
      <c r="K131" s="35" t="s">
        <v>49</v>
      </c>
      <c r="L131" s="37">
        <v>39</v>
      </c>
      <c r="M131" s="38">
        <v>22000</v>
      </c>
      <c r="N131" s="35" t="str">
        <f t="shared" si="0"/>
        <v>Alto</v>
      </c>
      <c r="O131" s="35" t="str">
        <f t="shared" si="1"/>
        <v>Passa</v>
      </c>
      <c r="P131" s="35" t="str">
        <f t="shared" si="2"/>
        <v>Passa</v>
      </c>
      <c r="Q131" s="38">
        <f>IF(AND(O131="Negada",P131="Negada"),0,IF(A131="Ativo",M131*0.08,0))</f>
        <v>1760</v>
      </c>
    </row>
    <row r="132" spans="1:17" ht="15.75" customHeight="1">
      <c r="A132" s="35" t="s">
        <v>77</v>
      </c>
      <c r="B132" s="35" t="s">
        <v>360</v>
      </c>
      <c r="C132" s="35" t="s">
        <v>361</v>
      </c>
      <c r="D132" s="35" t="str">
        <f t="shared" si="5"/>
        <v>000.000.282-00</v>
      </c>
      <c r="E132" s="36">
        <v>25671</v>
      </c>
      <c r="F132" s="37">
        <v>56</v>
      </c>
      <c r="G132" s="35" t="s">
        <v>151</v>
      </c>
      <c r="H132" s="35" t="s">
        <v>124</v>
      </c>
      <c r="I132" s="38">
        <v>28300</v>
      </c>
      <c r="J132" s="38">
        <v>56000</v>
      </c>
      <c r="K132" s="35" t="s">
        <v>49</v>
      </c>
      <c r="L132" s="37">
        <v>6</v>
      </c>
      <c r="M132" s="38">
        <v>77000</v>
      </c>
      <c r="N132" s="35" t="str">
        <f t="shared" si="0"/>
        <v>Baixo</v>
      </c>
      <c r="O132" s="35" t="str">
        <f t="shared" si="1"/>
        <v>Passa</v>
      </c>
      <c r="P132" s="35" t="str">
        <f t="shared" si="2"/>
        <v>Passa</v>
      </c>
      <c r="Q132" s="38">
        <f>IF(AND(O132="Negada",P132="Negada"),0,IF(A132="Ativo",M132*0.08,0))</f>
        <v>6160</v>
      </c>
    </row>
    <row r="133" spans="1:17" ht="15.75" customHeight="1">
      <c r="A133" s="35" t="s">
        <v>77</v>
      </c>
      <c r="B133" s="35" t="s">
        <v>362</v>
      </c>
      <c r="C133" s="35" t="s">
        <v>363</v>
      </c>
      <c r="D133" s="35" t="str">
        <f t="shared" si="5"/>
        <v>000.000.377-00</v>
      </c>
      <c r="E133" s="36">
        <v>37566</v>
      </c>
      <c r="F133" s="37">
        <v>23</v>
      </c>
      <c r="G133" s="35" t="s">
        <v>114</v>
      </c>
      <c r="H133" s="35" t="s">
        <v>109</v>
      </c>
      <c r="I133" s="38">
        <v>2600</v>
      </c>
      <c r="J133" s="38">
        <v>0</v>
      </c>
      <c r="K133" s="35" t="s">
        <v>50</v>
      </c>
      <c r="L133" s="37">
        <v>30</v>
      </c>
      <c r="M133" s="38">
        <v>11000</v>
      </c>
      <c r="N133" s="35" t="str">
        <f t="shared" si="0"/>
        <v>Alto</v>
      </c>
      <c r="O133" s="35" t="str">
        <f t="shared" si="1"/>
        <v>Negada</v>
      </c>
      <c r="P133" s="35" t="str">
        <f t="shared" si="2"/>
        <v>Passa</v>
      </c>
      <c r="Q133" s="38">
        <f>IF(AND(O133="Negada",P133="Negada"),0,IF(A133="Ativo",M133*0.08,0))</f>
        <v>880</v>
      </c>
    </row>
    <row r="134" spans="1:17" ht="15.75" customHeight="1">
      <c r="A134" s="35" t="s">
        <v>77</v>
      </c>
      <c r="B134" s="35" t="s">
        <v>364</v>
      </c>
      <c r="C134" s="35" t="s">
        <v>365</v>
      </c>
      <c r="D134" s="35" t="str">
        <f t="shared" si="5"/>
        <v>000.000.310-00</v>
      </c>
      <c r="E134" s="36">
        <v>37137</v>
      </c>
      <c r="F134" s="37">
        <v>25</v>
      </c>
      <c r="G134" s="35" t="s">
        <v>80</v>
      </c>
      <c r="H134" s="35" t="s">
        <v>81</v>
      </c>
      <c r="I134" s="38"/>
      <c r="J134" s="38">
        <v>21000</v>
      </c>
      <c r="K134" s="35" t="s">
        <v>49</v>
      </c>
      <c r="L134" s="37">
        <v>34</v>
      </c>
      <c r="M134" s="38">
        <v>7500</v>
      </c>
      <c r="N134" s="35" t="str">
        <f t="shared" si="0"/>
        <v>Alto</v>
      </c>
      <c r="O134" s="35" t="str">
        <f t="shared" si="1"/>
        <v>Passa</v>
      </c>
      <c r="P134" s="35" t="str">
        <f t="shared" si="2"/>
        <v>Passa</v>
      </c>
      <c r="Q134" s="38">
        <f>IF(AND(O134="Negada",P134="Negada"),0,IF(A134="Ativo",M134*0.08,0))</f>
        <v>600</v>
      </c>
    </row>
    <row r="135" spans="1:17" ht="15.75" customHeight="1">
      <c r="A135" s="35" t="s">
        <v>77</v>
      </c>
      <c r="B135" s="35" t="s">
        <v>366</v>
      </c>
      <c r="C135" s="35" t="s">
        <v>367</v>
      </c>
      <c r="D135" s="35" t="str">
        <f t="shared" si="5"/>
        <v>000.000.376-00</v>
      </c>
      <c r="E135" s="36">
        <v>25199</v>
      </c>
      <c r="F135" s="37">
        <v>57</v>
      </c>
      <c r="G135" s="35" t="s">
        <v>133</v>
      </c>
      <c r="H135" s="35" t="s">
        <v>134</v>
      </c>
      <c r="I135" s="38">
        <v>20700</v>
      </c>
      <c r="J135" s="38">
        <v>64500</v>
      </c>
      <c r="K135" s="35" t="s">
        <v>49</v>
      </c>
      <c r="L135" s="37">
        <v>19</v>
      </c>
      <c r="M135" s="38">
        <v>54500</v>
      </c>
      <c r="N135" s="35" t="str">
        <f t="shared" si="0"/>
        <v>Médio</v>
      </c>
      <c r="O135" s="35" t="str">
        <f t="shared" si="1"/>
        <v>Passa</v>
      </c>
      <c r="P135" s="35" t="str">
        <f t="shared" si="2"/>
        <v>Passa</v>
      </c>
      <c r="Q135" s="38">
        <f>IF(AND(O135="Negada",P135="Negada"),0,IF(A135="Ativo",M135*0.08,0))</f>
        <v>4360</v>
      </c>
    </row>
    <row r="136" spans="1:17" ht="15.75" customHeight="1">
      <c r="A136" s="35" t="s">
        <v>77</v>
      </c>
      <c r="B136" s="35" t="s">
        <v>368</v>
      </c>
      <c r="C136" s="35" t="s">
        <v>369</v>
      </c>
      <c r="D136" s="35" t="str">
        <f t="shared" si="5"/>
        <v>000.000.181-00</v>
      </c>
      <c r="E136" s="36">
        <v>19314</v>
      </c>
      <c r="F136" s="37">
        <v>73</v>
      </c>
      <c r="G136" s="35" t="s">
        <v>88</v>
      </c>
      <c r="H136" s="35" t="s">
        <v>89</v>
      </c>
      <c r="I136" s="38">
        <v>6100</v>
      </c>
      <c r="J136" s="38">
        <v>16000</v>
      </c>
      <c r="K136" s="35" t="s">
        <v>49</v>
      </c>
      <c r="L136" s="37">
        <v>9</v>
      </c>
      <c r="M136" s="38">
        <v>24500</v>
      </c>
      <c r="N136" s="35" t="str">
        <f t="shared" si="0"/>
        <v>Baixo</v>
      </c>
      <c r="O136" s="35" t="str">
        <f t="shared" si="1"/>
        <v>Passa</v>
      </c>
      <c r="P136" s="35" t="str">
        <f t="shared" si="2"/>
        <v>Passa</v>
      </c>
      <c r="Q136" s="38">
        <f>IF(AND(O136="Negada",P136="Negada"),0,IF(A136="Ativo",M136*0.08,0))</f>
        <v>1960</v>
      </c>
    </row>
    <row r="137" spans="1:17" ht="15.75" customHeight="1">
      <c r="A137" s="35" t="s">
        <v>77</v>
      </c>
      <c r="B137" s="35" t="s">
        <v>370</v>
      </c>
      <c r="C137" s="35" t="s">
        <v>371</v>
      </c>
      <c r="D137" s="35" t="str">
        <f t="shared" si="5"/>
        <v>000.000.370-00</v>
      </c>
      <c r="E137" s="36">
        <v>37290</v>
      </c>
      <c r="F137" s="37">
        <v>24</v>
      </c>
      <c r="G137" s="35" t="s">
        <v>156</v>
      </c>
      <c r="H137" s="35" t="s">
        <v>134</v>
      </c>
      <c r="I137" s="38">
        <v>6400</v>
      </c>
      <c r="J137" s="38">
        <v>41000</v>
      </c>
      <c r="K137" s="35" t="s">
        <v>49</v>
      </c>
      <c r="L137" s="37">
        <v>22</v>
      </c>
      <c r="M137" s="38">
        <v>74500</v>
      </c>
      <c r="N137" s="35" t="str">
        <f t="shared" si="0"/>
        <v>Médio</v>
      </c>
      <c r="O137" s="35" t="str">
        <f t="shared" si="1"/>
        <v>Passa</v>
      </c>
      <c r="P137" s="35" t="str">
        <f t="shared" si="2"/>
        <v>Passa</v>
      </c>
      <c r="Q137" s="38">
        <f>IF(AND(O137="Negada",P137="Negada"),0,IF(A137="Ativo",M137*0.08,0))</f>
        <v>5960</v>
      </c>
    </row>
    <row r="138" spans="1:17" ht="15.75" customHeight="1">
      <c r="A138" s="35" t="s">
        <v>77</v>
      </c>
      <c r="B138" s="35" t="s">
        <v>372</v>
      </c>
      <c r="C138" s="35" t="s">
        <v>373</v>
      </c>
      <c r="D138" s="35" t="str">
        <f t="shared" si="5"/>
        <v>000.000.373-00</v>
      </c>
      <c r="E138" s="36"/>
      <c r="F138" s="37">
        <v>47</v>
      </c>
      <c r="G138" s="35" t="s">
        <v>114</v>
      </c>
      <c r="H138" s="35" t="s">
        <v>109</v>
      </c>
      <c r="I138" s="38">
        <v>11600</v>
      </c>
      <c r="J138" s="38">
        <v>63500</v>
      </c>
      <c r="K138" s="35" t="s">
        <v>49</v>
      </c>
      <c r="L138" s="37">
        <v>18</v>
      </c>
      <c r="M138" s="38">
        <v>3000</v>
      </c>
      <c r="N138" s="35" t="str">
        <f t="shared" si="0"/>
        <v>Médio</v>
      </c>
      <c r="O138" s="35" t="str">
        <f t="shared" si="1"/>
        <v>Passa</v>
      </c>
      <c r="P138" s="35" t="str">
        <f t="shared" si="2"/>
        <v>Passa</v>
      </c>
      <c r="Q138" s="38">
        <f>IF(AND(O138="Negada",P138="Negada"),0,IF(A138="Ativo",M138*0.08,0))</f>
        <v>240</v>
      </c>
    </row>
    <row r="139" spans="1:17" ht="15.75" customHeight="1">
      <c r="A139" s="35" t="s">
        <v>82</v>
      </c>
      <c r="B139" s="35" t="s">
        <v>374</v>
      </c>
      <c r="C139" s="35" t="s">
        <v>375</v>
      </c>
      <c r="D139" s="35" t="str">
        <f t="shared" si="5"/>
        <v>000.000.094-00</v>
      </c>
      <c r="E139" s="36">
        <v>27186</v>
      </c>
      <c r="F139" s="37">
        <v>52</v>
      </c>
      <c r="G139" s="35" t="s">
        <v>84</v>
      </c>
      <c r="H139" s="35" t="s">
        <v>85</v>
      </c>
      <c r="I139" s="38">
        <v>6400</v>
      </c>
      <c r="J139" s="38">
        <v>37000</v>
      </c>
      <c r="K139" s="35" t="s">
        <v>49</v>
      </c>
      <c r="L139" s="37">
        <v>1</v>
      </c>
      <c r="M139" s="38">
        <v>87000</v>
      </c>
      <c r="N139" s="35" t="str">
        <f t="shared" si="0"/>
        <v>Baixo</v>
      </c>
      <c r="O139" s="35" t="str">
        <f t="shared" si="1"/>
        <v>Passa</v>
      </c>
      <c r="P139" s="35" t="str">
        <f t="shared" si="2"/>
        <v>Passa</v>
      </c>
      <c r="Q139" s="38">
        <f>IF(AND(O139="Negada",P139="Negada"),0,IF(A139="Ativo",M139*0.08,0))</f>
        <v>0</v>
      </c>
    </row>
    <row r="140" spans="1:17" ht="15.75" customHeight="1">
      <c r="A140" s="35" t="s">
        <v>82</v>
      </c>
      <c r="B140" s="35" t="s">
        <v>372</v>
      </c>
      <c r="C140" s="35" t="s">
        <v>376</v>
      </c>
      <c r="D140" s="35" t="str">
        <f t="shared" si="5"/>
        <v>000.000.267-00</v>
      </c>
      <c r="E140" s="36">
        <v>26453</v>
      </c>
      <c r="F140" s="37">
        <v>54</v>
      </c>
      <c r="G140" s="35" t="s">
        <v>215</v>
      </c>
      <c r="H140" s="35" t="s">
        <v>216</v>
      </c>
      <c r="I140" s="38">
        <v>3900</v>
      </c>
      <c r="J140" s="38">
        <v>80000</v>
      </c>
      <c r="K140" s="35" t="s">
        <v>49</v>
      </c>
      <c r="L140" s="37">
        <v>41</v>
      </c>
      <c r="M140" s="38">
        <v>30000</v>
      </c>
      <c r="N140" s="35" t="str">
        <f t="shared" si="0"/>
        <v>Alto</v>
      </c>
      <c r="O140" s="35" t="str">
        <f t="shared" si="1"/>
        <v>Passa</v>
      </c>
      <c r="P140" s="35" t="str">
        <f t="shared" si="2"/>
        <v>Passa</v>
      </c>
      <c r="Q140" s="38">
        <f>IF(AND(O140="Negada",P140="Negada"),0,IF(A140="Ativo",M140*0.08,0))</f>
        <v>0</v>
      </c>
    </row>
    <row r="141" spans="1:17" ht="15.75" customHeight="1">
      <c r="A141" s="35" t="s">
        <v>77</v>
      </c>
      <c r="B141" s="35" t="s">
        <v>377</v>
      </c>
      <c r="C141" s="35" t="s">
        <v>378</v>
      </c>
      <c r="D141" s="35" t="str">
        <f t="shared" si="5"/>
        <v>000.000.225-00</v>
      </c>
      <c r="E141" s="36">
        <v>29598</v>
      </c>
      <c r="F141" s="37">
        <v>45</v>
      </c>
      <c r="G141" s="35" t="s">
        <v>98</v>
      </c>
      <c r="H141" s="35" t="s">
        <v>99</v>
      </c>
      <c r="I141" s="38">
        <v>22800</v>
      </c>
      <c r="J141" s="38"/>
      <c r="K141" s="35" t="s">
        <v>49</v>
      </c>
      <c r="L141" s="37">
        <v>10</v>
      </c>
      <c r="M141" s="38">
        <v>31000</v>
      </c>
      <c r="N141" s="35" t="str">
        <f t="shared" si="0"/>
        <v>Baixo</v>
      </c>
      <c r="O141" s="35" t="str">
        <f t="shared" si="1"/>
        <v>Passa</v>
      </c>
      <c r="P141" s="35" t="str">
        <f t="shared" si="2"/>
        <v>Passa</v>
      </c>
      <c r="Q141" s="38">
        <f>IF(AND(O141="Negada",P141="Negada"),0,IF(A141="Ativo",M141*0.08,0))</f>
        <v>2480</v>
      </c>
    </row>
    <row r="142" spans="1:17" ht="15.75" customHeight="1">
      <c r="A142" s="35" t="s">
        <v>77</v>
      </c>
      <c r="B142" s="35" t="s">
        <v>379</v>
      </c>
      <c r="C142" s="35" t="s">
        <v>380</v>
      </c>
      <c r="D142" s="35" t="str">
        <f t="shared" si="5"/>
        <v>000.000.352-00</v>
      </c>
      <c r="E142" s="36">
        <v>22337</v>
      </c>
      <c r="F142" s="37">
        <v>65</v>
      </c>
      <c r="G142" s="35" t="s">
        <v>127</v>
      </c>
      <c r="H142" s="35" t="s">
        <v>128</v>
      </c>
      <c r="I142" s="38">
        <v>3800</v>
      </c>
      <c r="J142" s="38">
        <v>49500</v>
      </c>
      <c r="K142" s="35" t="s">
        <v>49</v>
      </c>
      <c r="L142" s="37">
        <v>16</v>
      </c>
      <c r="M142" s="38">
        <v>15500</v>
      </c>
      <c r="N142" s="35" t="str">
        <f t="shared" si="0"/>
        <v>Médio</v>
      </c>
      <c r="O142" s="35" t="str">
        <f t="shared" si="1"/>
        <v>Passa</v>
      </c>
      <c r="P142" s="35" t="str">
        <f t="shared" si="2"/>
        <v>Passa</v>
      </c>
      <c r="Q142" s="38">
        <f>IF(AND(O142="Negada",P142="Negada"),0,IF(A142="Ativo",M142*0.08,0))</f>
        <v>1240</v>
      </c>
    </row>
    <row r="143" spans="1:17" ht="15.75" customHeight="1">
      <c r="A143" s="35" t="s">
        <v>77</v>
      </c>
      <c r="B143" s="35" t="s">
        <v>381</v>
      </c>
      <c r="C143" s="35" t="s">
        <v>382</v>
      </c>
      <c r="D143" s="35" t="str">
        <f t="shared" si="5"/>
        <v>000.000.242-00</v>
      </c>
      <c r="E143" s="36">
        <v>22151</v>
      </c>
      <c r="F143" s="37">
        <v>66</v>
      </c>
      <c r="G143" s="35" t="s">
        <v>133</v>
      </c>
      <c r="H143" s="35" t="s">
        <v>134</v>
      </c>
      <c r="I143" s="38">
        <v>11800</v>
      </c>
      <c r="J143" s="38">
        <v>2000</v>
      </c>
      <c r="K143" s="35" t="s">
        <v>50</v>
      </c>
      <c r="L143" s="37">
        <v>23</v>
      </c>
      <c r="M143" s="38">
        <v>72500</v>
      </c>
      <c r="N143" s="35" t="str">
        <f t="shared" si="0"/>
        <v>Médio</v>
      </c>
      <c r="O143" s="35" t="str">
        <f t="shared" si="1"/>
        <v>Passa</v>
      </c>
      <c r="P143" s="35" t="str">
        <f t="shared" si="2"/>
        <v>Passa</v>
      </c>
      <c r="Q143" s="38">
        <f>IF(AND(O143="Negada",P143="Negada"),0,IF(A143="Ativo",M143*0.08,0))</f>
        <v>5800</v>
      </c>
    </row>
    <row r="144" spans="1:17" ht="15.75" customHeight="1">
      <c r="A144" s="35" t="s">
        <v>82</v>
      </c>
      <c r="B144" s="35" t="s">
        <v>383</v>
      </c>
      <c r="C144" s="35" t="s">
        <v>384</v>
      </c>
      <c r="D144" s="35" t="str">
        <f t="shared" si="5"/>
        <v>000.000.357-00</v>
      </c>
      <c r="E144" s="36">
        <v>35607</v>
      </c>
      <c r="F144" s="37">
        <v>29</v>
      </c>
      <c r="G144" s="35" t="s">
        <v>139</v>
      </c>
      <c r="H144" s="35" t="s">
        <v>128</v>
      </c>
      <c r="I144" s="38">
        <v>13800</v>
      </c>
      <c r="J144" s="38">
        <v>41500</v>
      </c>
      <c r="K144" s="35" t="s">
        <v>49</v>
      </c>
      <c r="L144" s="37">
        <v>34</v>
      </c>
      <c r="M144" s="38">
        <v>66000</v>
      </c>
      <c r="N144" s="35" t="str">
        <f t="shared" si="0"/>
        <v>Alto</v>
      </c>
      <c r="O144" s="35" t="str">
        <f t="shared" si="1"/>
        <v>Passa</v>
      </c>
      <c r="P144" s="35" t="str">
        <f t="shared" si="2"/>
        <v>Passa</v>
      </c>
      <c r="Q144" s="38">
        <f>IF(AND(O144="Negada",P144="Negada"),0,IF(A144="Ativo",M144*0.08,0))</f>
        <v>0</v>
      </c>
    </row>
    <row r="145" spans="1:17" ht="15.75" customHeight="1">
      <c r="A145" s="35" t="s">
        <v>77</v>
      </c>
      <c r="B145" s="35" t="s">
        <v>385</v>
      </c>
      <c r="C145" s="35" t="s">
        <v>386</v>
      </c>
      <c r="D145" s="35" t="str">
        <f t="shared" si="5"/>
        <v>000.000.157-00</v>
      </c>
      <c r="E145" s="36">
        <v>37904</v>
      </c>
      <c r="F145" s="37">
        <v>22</v>
      </c>
      <c r="G145" s="35" t="s">
        <v>84</v>
      </c>
      <c r="H145" s="35" t="s">
        <v>85</v>
      </c>
      <c r="I145" s="38">
        <v>2300</v>
      </c>
      <c r="J145" s="38">
        <v>0</v>
      </c>
      <c r="K145" s="35" t="s">
        <v>50</v>
      </c>
      <c r="L145" s="37">
        <v>29</v>
      </c>
      <c r="M145" s="38">
        <v>51500</v>
      </c>
      <c r="N145" s="35" t="str">
        <f t="shared" si="0"/>
        <v>Alto</v>
      </c>
      <c r="O145" s="35" t="str">
        <f t="shared" si="1"/>
        <v>Negada</v>
      </c>
      <c r="P145" s="35" t="str">
        <f t="shared" si="2"/>
        <v>Passa</v>
      </c>
      <c r="Q145" s="38">
        <f>IF(AND(O145="Negada",P145="Negada"),0,IF(A145="Ativo",M145*0.08,0))</f>
        <v>4120</v>
      </c>
    </row>
    <row r="146" spans="1:17" ht="15.75" customHeight="1">
      <c r="A146" s="35" t="s">
        <v>82</v>
      </c>
      <c r="B146" s="35" t="s">
        <v>387</v>
      </c>
      <c r="C146" s="35" t="s">
        <v>388</v>
      </c>
      <c r="D146" s="35" t="str">
        <f t="shared" si="5"/>
        <v>000.000.221-00</v>
      </c>
      <c r="E146" s="36">
        <v>35598</v>
      </c>
      <c r="F146" s="37">
        <v>29</v>
      </c>
      <c r="G146" s="35" t="s">
        <v>165</v>
      </c>
      <c r="H146" s="35" t="s">
        <v>165</v>
      </c>
      <c r="I146" s="38">
        <v>15500</v>
      </c>
      <c r="J146" s="38">
        <v>75000</v>
      </c>
      <c r="K146" s="35" t="s">
        <v>49</v>
      </c>
      <c r="L146" s="37">
        <v>25</v>
      </c>
      <c r="M146" s="38">
        <v>47000</v>
      </c>
      <c r="N146" s="35" t="str">
        <f t="shared" si="0"/>
        <v>Médio</v>
      </c>
      <c r="O146" s="35" t="str">
        <f t="shared" si="1"/>
        <v>Passa</v>
      </c>
      <c r="P146" s="35" t="str">
        <f t="shared" si="2"/>
        <v>Passa</v>
      </c>
      <c r="Q146" s="38">
        <f>IF(AND(O146="Negada",P146="Negada"),0,IF(A146="Ativo",M146*0.08,0))</f>
        <v>0</v>
      </c>
    </row>
    <row r="147" spans="1:17" ht="15.75" customHeight="1">
      <c r="A147" s="35" t="s">
        <v>77</v>
      </c>
      <c r="B147" s="35" t="s">
        <v>389</v>
      </c>
      <c r="C147" s="35" t="s">
        <v>390</v>
      </c>
      <c r="D147" s="35" t="str">
        <f t="shared" si="5"/>
        <v>000.000.115-00</v>
      </c>
      <c r="E147" s="36">
        <v>19839</v>
      </c>
      <c r="F147" s="37">
        <v>72</v>
      </c>
      <c r="G147" s="35" t="s">
        <v>80</v>
      </c>
      <c r="H147" s="35" t="s">
        <v>81</v>
      </c>
      <c r="I147" s="38">
        <v>3900</v>
      </c>
      <c r="J147" s="38">
        <v>27000</v>
      </c>
      <c r="K147" s="35" t="s">
        <v>49</v>
      </c>
      <c r="L147" s="37">
        <v>33</v>
      </c>
      <c r="M147" s="38">
        <v>2000</v>
      </c>
      <c r="N147" s="35" t="str">
        <f t="shared" si="0"/>
        <v>Alto</v>
      </c>
      <c r="O147" s="35" t="str">
        <f t="shared" si="1"/>
        <v>Passa</v>
      </c>
      <c r="P147" s="35" t="str">
        <f t="shared" si="2"/>
        <v>Passa</v>
      </c>
      <c r="Q147" s="38">
        <f>IF(AND(O147="Negada",P147="Negada"),0,IF(A147="Ativo",M147*0.08,0))</f>
        <v>160</v>
      </c>
    </row>
    <row r="148" spans="1:17" ht="15.75" customHeight="1">
      <c r="A148" s="35" t="s">
        <v>77</v>
      </c>
      <c r="B148" s="35" t="s">
        <v>391</v>
      </c>
      <c r="C148" s="35" t="s">
        <v>392</v>
      </c>
      <c r="D148" s="35" t="str">
        <f t="shared" si="5"/>
        <v>000.000.182-00</v>
      </c>
      <c r="E148" s="36">
        <v>25066</v>
      </c>
      <c r="F148" s="37">
        <v>58</v>
      </c>
      <c r="G148" s="35" t="s">
        <v>156</v>
      </c>
      <c r="H148" s="35" t="s">
        <v>134</v>
      </c>
      <c r="I148" s="38">
        <v>4500</v>
      </c>
      <c r="J148" s="38"/>
      <c r="K148" s="35" t="s">
        <v>50</v>
      </c>
      <c r="L148" s="37">
        <v>31</v>
      </c>
      <c r="M148" s="38">
        <v>97500</v>
      </c>
      <c r="N148" s="35" t="str">
        <f t="shared" si="0"/>
        <v>Alto</v>
      </c>
      <c r="O148" s="35" t="str">
        <f t="shared" si="1"/>
        <v>Negada</v>
      </c>
      <c r="P148" s="35" t="str">
        <f t="shared" si="2"/>
        <v>Passa</v>
      </c>
      <c r="Q148" s="38">
        <f>IF(AND(O148="Negada",P148="Negada"),0,IF(A148="Ativo",M148*0.08,0))</f>
        <v>7800</v>
      </c>
    </row>
    <row r="149" spans="1:17" ht="15.75" customHeight="1">
      <c r="A149" s="35" t="s">
        <v>77</v>
      </c>
      <c r="B149" s="35" t="s">
        <v>393</v>
      </c>
      <c r="C149" s="35" t="s">
        <v>394</v>
      </c>
      <c r="D149" s="35" t="str">
        <f t="shared" si="5"/>
        <v>000.000.209-00</v>
      </c>
      <c r="E149" s="36">
        <v>34021</v>
      </c>
      <c r="F149" s="37">
        <v>33</v>
      </c>
      <c r="G149" s="35" t="s">
        <v>84</v>
      </c>
      <c r="H149" s="35" t="s">
        <v>85</v>
      </c>
      <c r="I149" s="38"/>
      <c r="J149" s="38">
        <v>73500</v>
      </c>
      <c r="K149" s="35" t="s">
        <v>49</v>
      </c>
      <c r="L149" s="37">
        <v>33</v>
      </c>
      <c r="M149" s="38">
        <v>95000</v>
      </c>
      <c r="N149" s="35" t="str">
        <f t="shared" si="0"/>
        <v>Alto</v>
      </c>
      <c r="O149" s="35" t="str">
        <f t="shared" si="1"/>
        <v>Passa</v>
      </c>
      <c r="P149" s="35" t="str">
        <f t="shared" si="2"/>
        <v>Passa</v>
      </c>
      <c r="Q149" s="38">
        <f>IF(AND(O149="Negada",P149="Negada"),0,IF(A149="Ativo",M149*0.08,0))</f>
        <v>7600</v>
      </c>
    </row>
    <row r="150" spans="1:17" ht="15.75" customHeight="1">
      <c r="A150" s="35" t="s">
        <v>77</v>
      </c>
      <c r="B150" s="35" t="s">
        <v>395</v>
      </c>
      <c r="C150" s="35" t="s">
        <v>396</v>
      </c>
      <c r="D150" s="35" t="str">
        <f t="shared" si="5"/>
        <v>000.000.369-00</v>
      </c>
      <c r="E150" s="36">
        <v>23928</v>
      </c>
      <c r="F150" s="37">
        <v>61</v>
      </c>
      <c r="G150" s="35" t="s">
        <v>269</v>
      </c>
      <c r="H150" s="35" t="s">
        <v>85</v>
      </c>
      <c r="I150" s="38">
        <v>22900</v>
      </c>
      <c r="J150" s="38">
        <v>7500</v>
      </c>
      <c r="K150" s="35" t="s">
        <v>49</v>
      </c>
      <c r="L150" s="37">
        <v>12</v>
      </c>
      <c r="M150" s="38">
        <v>73000</v>
      </c>
      <c r="N150" s="35" t="str">
        <f t="shared" si="0"/>
        <v>Médio</v>
      </c>
      <c r="O150" s="35" t="str">
        <f t="shared" si="1"/>
        <v>Passa</v>
      </c>
      <c r="P150" s="35" t="str">
        <f t="shared" si="2"/>
        <v>Passa</v>
      </c>
      <c r="Q150" s="38">
        <f>IF(AND(O150="Negada",P150="Negada"),0,IF(A150="Ativo",M150*0.08,0))</f>
        <v>5840</v>
      </c>
    </row>
    <row r="151" spans="1:17" ht="15.75" customHeight="1">
      <c r="A151" s="35" t="s">
        <v>77</v>
      </c>
      <c r="B151" s="35" t="s">
        <v>397</v>
      </c>
      <c r="C151" s="35" t="s">
        <v>398</v>
      </c>
      <c r="D151" s="35" t="str">
        <f t="shared" si="5"/>
        <v>000.000.259-00</v>
      </c>
      <c r="E151" s="36">
        <v>19363</v>
      </c>
      <c r="F151" s="37">
        <v>73</v>
      </c>
      <c r="G151" s="35" t="s">
        <v>156</v>
      </c>
      <c r="H151" s="35" t="s">
        <v>134</v>
      </c>
      <c r="I151" s="38">
        <v>23000</v>
      </c>
      <c r="J151" s="38">
        <v>19000</v>
      </c>
      <c r="K151" s="35" t="s">
        <v>49</v>
      </c>
      <c r="L151" s="37">
        <v>0</v>
      </c>
      <c r="M151" s="38">
        <v>17000</v>
      </c>
      <c r="N151" s="35" t="str">
        <f t="shared" si="0"/>
        <v>Baixo</v>
      </c>
      <c r="O151" s="35" t="str">
        <f t="shared" si="1"/>
        <v>Passa</v>
      </c>
      <c r="P151" s="35" t="str">
        <f t="shared" si="2"/>
        <v>Passa</v>
      </c>
      <c r="Q151" s="38">
        <f>IF(AND(O151="Negada",P151="Negada"),0,IF(A151="Ativo",M151*0.08,0))</f>
        <v>1360</v>
      </c>
    </row>
    <row r="152" spans="1:17" ht="15.75" customHeight="1">
      <c r="A152" s="35" t="s">
        <v>82</v>
      </c>
      <c r="B152" s="35" t="s">
        <v>399</v>
      </c>
      <c r="C152" s="35" t="s">
        <v>400</v>
      </c>
      <c r="D152" s="35" t="str">
        <f t="shared" si="5"/>
        <v>000.000.069-00</v>
      </c>
      <c r="E152" s="36">
        <v>27590</v>
      </c>
      <c r="F152" s="37">
        <v>51</v>
      </c>
      <c r="G152" s="35" t="s">
        <v>127</v>
      </c>
      <c r="H152" s="35" t="s">
        <v>128</v>
      </c>
      <c r="I152" s="38">
        <v>19400</v>
      </c>
      <c r="J152" s="38">
        <v>4000</v>
      </c>
      <c r="K152" s="35" t="s">
        <v>49</v>
      </c>
      <c r="L152" s="37">
        <v>30</v>
      </c>
      <c r="M152" s="38">
        <v>38500</v>
      </c>
      <c r="N152" s="35" t="str">
        <f t="shared" si="0"/>
        <v>Alto</v>
      </c>
      <c r="O152" s="35" t="str">
        <f t="shared" si="1"/>
        <v>Passa</v>
      </c>
      <c r="P152" s="35" t="str">
        <f t="shared" si="2"/>
        <v>Passa</v>
      </c>
      <c r="Q152" s="38">
        <f>IF(AND(O152="Negada",P152="Negada"),0,IF(A152="Ativo",M152*0.08,0))</f>
        <v>0</v>
      </c>
    </row>
    <row r="153" spans="1:17" ht="15.75" customHeight="1">
      <c r="A153" s="35" t="s">
        <v>77</v>
      </c>
      <c r="B153" s="35" t="s">
        <v>401</v>
      </c>
      <c r="C153" s="35" t="s">
        <v>402</v>
      </c>
      <c r="D153" s="35" t="str">
        <f t="shared" si="5"/>
        <v>000.000.052-00</v>
      </c>
      <c r="E153" s="36">
        <v>30309</v>
      </c>
      <c r="F153" s="37">
        <v>43</v>
      </c>
      <c r="G153" s="35" t="s">
        <v>215</v>
      </c>
      <c r="H153" s="35" t="s">
        <v>216</v>
      </c>
      <c r="I153" s="38">
        <v>18400</v>
      </c>
      <c r="J153" s="38">
        <v>62000</v>
      </c>
      <c r="K153" s="35" t="s">
        <v>49</v>
      </c>
      <c r="L153" s="37">
        <v>33</v>
      </c>
      <c r="M153" s="38">
        <v>31000</v>
      </c>
      <c r="N153" s="35" t="str">
        <f t="shared" si="0"/>
        <v>Alto</v>
      </c>
      <c r="O153" s="35" t="str">
        <f t="shared" si="1"/>
        <v>Passa</v>
      </c>
      <c r="P153" s="35" t="str">
        <f t="shared" si="2"/>
        <v>Passa</v>
      </c>
      <c r="Q153" s="38">
        <f>IF(AND(O153="Negada",P153="Negada"),0,IF(A153="Ativo",M153*0.08,0))</f>
        <v>2480</v>
      </c>
    </row>
    <row r="154" spans="1:17" ht="15.75" customHeight="1">
      <c r="A154" s="35" t="s">
        <v>82</v>
      </c>
      <c r="B154" s="35" t="s">
        <v>403</v>
      </c>
      <c r="C154" s="35" t="s">
        <v>404</v>
      </c>
      <c r="D154" s="35" t="str">
        <f t="shared" si="5"/>
        <v>000.000.173-00</v>
      </c>
      <c r="E154" s="36">
        <v>23119</v>
      </c>
      <c r="F154" s="37">
        <v>63</v>
      </c>
      <c r="G154" s="35" t="s">
        <v>80</v>
      </c>
      <c r="H154" s="35" t="s">
        <v>81</v>
      </c>
      <c r="I154" s="38">
        <v>9300</v>
      </c>
      <c r="J154" s="38">
        <v>48500</v>
      </c>
      <c r="K154" s="35" t="s">
        <v>49</v>
      </c>
      <c r="L154" s="37">
        <v>28</v>
      </c>
      <c r="M154" s="38">
        <v>20000</v>
      </c>
      <c r="N154" s="35" t="str">
        <f t="shared" si="0"/>
        <v>Alto</v>
      </c>
      <c r="O154" s="35" t="str">
        <f t="shared" si="1"/>
        <v>Passa</v>
      </c>
      <c r="P154" s="35" t="str">
        <f t="shared" si="2"/>
        <v>Passa</v>
      </c>
      <c r="Q154" s="38">
        <f>IF(AND(O154="Negada",P154="Negada"),0,IF(A154="Ativo",M154*0.08,0))</f>
        <v>0</v>
      </c>
    </row>
    <row r="155" spans="1:17" ht="15.75" customHeight="1">
      <c r="A155" s="35" t="s">
        <v>82</v>
      </c>
      <c r="B155" s="35" t="s">
        <v>405</v>
      </c>
      <c r="C155" s="35" t="s">
        <v>406</v>
      </c>
      <c r="D155" s="35" t="str">
        <f t="shared" si="5"/>
        <v>000.000.073-00</v>
      </c>
      <c r="E155" s="36">
        <v>22924</v>
      </c>
      <c r="F155" s="37">
        <v>63</v>
      </c>
      <c r="G155" s="35" t="s">
        <v>114</v>
      </c>
      <c r="H155" s="35" t="s">
        <v>109</v>
      </c>
      <c r="I155" s="38">
        <v>29000</v>
      </c>
      <c r="J155" s="38">
        <v>36500</v>
      </c>
      <c r="K155" s="35" t="s">
        <v>49</v>
      </c>
      <c r="L155" s="37">
        <v>38</v>
      </c>
      <c r="M155" s="38">
        <v>47000</v>
      </c>
      <c r="N155" s="35" t="str">
        <f t="shared" si="0"/>
        <v>Alto</v>
      </c>
      <c r="O155" s="35" t="str">
        <f t="shared" si="1"/>
        <v>Passa</v>
      </c>
      <c r="P155" s="35" t="str">
        <f t="shared" si="2"/>
        <v>Passa</v>
      </c>
      <c r="Q155" s="38">
        <f>IF(AND(O155="Negada",P155="Negada"),0,IF(A155="Ativo",M155*0.08,0))</f>
        <v>0</v>
      </c>
    </row>
    <row r="156" spans="1:17" ht="15.75" customHeight="1">
      <c r="A156" s="35" t="s">
        <v>82</v>
      </c>
      <c r="B156" s="35" t="s">
        <v>407</v>
      </c>
      <c r="C156" s="35" t="s">
        <v>408</v>
      </c>
      <c r="D156" s="35" t="str">
        <f t="shared" si="5"/>
        <v>000.000.237-00</v>
      </c>
      <c r="E156" s="36">
        <v>19234</v>
      </c>
      <c r="F156" s="37">
        <v>74</v>
      </c>
      <c r="G156" s="35" t="s">
        <v>156</v>
      </c>
      <c r="H156" s="35" t="s">
        <v>134</v>
      </c>
      <c r="I156" s="38">
        <v>8900</v>
      </c>
      <c r="J156" s="38">
        <v>4000</v>
      </c>
      <c r="K156" s="35" t="s">
        <v>49</v>
      </c>
      <c r="L156" s="37">
        <v>38</v>
      </c>
      <c r="M156" s="38">
        <v>22500</v>
      </c>
      <c r="N156" s="35" t="str">
        <f t="shared" si="0"/>
        <v>Alto</v>
      </c>
      <c r="O156" s="35" t="str">
        <f t="shared" si="1"/>
        <v>Passa</v>
      </c>
      <c r="P156" s="35" t="str">
        <f t="shared" si="2"/>
        <v>Passa</v>
      </c>
      <c r="Q156" s="38">
        <f>IF(AND(O156="Negada",P156="Negada"),0,IF(A156="Ativo",M156*0.08,0))</f>
        <v>0</v>
      </c>
    </row>
    <row r="157" spans="1:17" ht="15.75" customHeight="1">
      <c r="A157" s="35" t="s">
        <v>176</v>
      </c>
      <c r="B157" s="35" t="s">
        <v>409</v>
      </c>
      <c r="C157" s="35" t="s">
        <v>410</v>
      </c>
      <c r="D157" s="35" t="str">
        <f t="shared" si="5"/>
        <v>000.000.169-00</v>
      </c>
      <c r="E157" s="36">
        <v>23813</v>
      </c>
      <c r="F157" s="37">
        <v>61</v>
      </c>
      <c r="G157" s="35" t="s">
        <v>114</v>
      </c>
      <c r="H157" s="35" t="s">
        <v>109</v>
      </c>
      <c r="I157" s="38">
        <v>26300</v>
      </c>
      <c r="J157" s="38">
        <v>40000</v>
      </c>
      <c r="K157" s="35" t="s">
        <v>50</v>
      </c>
      <c r="L157" s="37">
        <v>10</v>
      </c>
      <c r="M157" s="38">
        <v>16500</v>
      </c>
      <c r="N157" s="35" t="str">
        <f t="shared" si="0"/>
        <v>Baixo</v>
      </c>
      <c r="O157" s="35" t="str">
        <f t="shared" si="1"/>
        <v>Passa</v>
      </c>
      <c r="P157" s="35" t="str">
        <f t="shared" si="2"/>
        <v>Passa</v>
      </c>
      <c r="Q157" s="38">
        <f>IF(AND(O157="Negada",P157="Negada"),0,IF(A157="Ativo",M157*0.08,0))</f>
        <v>0</v>
      </c>
    </row>
    <row r="158" spans="1:17" ht="15.75" customHeight="1">
      <c r="A158" s="35" t="s">
        <v>77</v>
      </c>
      <c r="B158" s="35" t="s">
        <v>411</v>
      </c>
      <c r="C158" s="35" t="s">
        <v>412</v>
      </c>
      <c r="D158" s="35" t="str">
        <f t="shared" si="5"/>
        <v>000.000.012-00</v>
      </c>
      <c r="E158" s="36">
        <v>26631</v>
      </c>
      <c r="F158" s="37">
        <v>53</v>
      </c>
      <c r="G158" s="35" t="s">
        <v>215</v>
      </c>
      <c r="H158" s="35" t="s">
        <v>216</v>
      </c>
      <c r="I158" s="38">
        <v>22700</v>
      </c>
      <c r="J158" s="38">
        <v>42500</v>
      </c>
      <c r="K158" s="35" t="s">
        <v>50</v>
      </c>
      <c r="L158" s="37">
        <v>25</v>
      </c>
      <c r="M158" s="38">
        <v>86000</v>
      </c>
      <c r="N158" s="35" t="str">
        <f t="shared" si="0"/>
        <v>Médio</v>
      </c>
      <c r="O158" s="35" t="str">
        <f t="shared" si="1"/>
        <v>Passa</v>
      </c>
      <c r="P158" s="35" t="str">
        <f t="shared" si="2"/>
        <v>Passa</v>
      </c>
      <c r="Q158" s="38">
        <f>IF(AND(O158="Negada",P158="Negada"),0,IF(A158="Ativo",M158*0.08,0))</f>
        <v>6880</v>
      </c>
    </row>
    <row r="159" spans="1:17" ht="15.75" customHeight="1">
      <c r="A159" s="35" t="s">
        <v>77</v>
      </c>
      <c r="B159" s="35" t="s">
        <v>413</v>
      </c>
      <c r="C159" s="35" t="s">
        <v>414</v>
      </c>
      <c r="D159" s="35" t="str">
        <f t="shared" si="5"/>
        <v>000.000.148-00</v>
      </c>
      <c r="E159" s="36">
        <v>28673</v>
      </c>
      <c r="F159" s="37">
        <v>48</v>
      </c>
      <c r="G159" s="35" t="s">
        <v>215</v>
      </c>
      <c r="H159" s="35" t="s">
        <v>216</v>
      </c>
      <c r="I159" s="38">
        <v>2300</v>
      </c>
      <c r="J159" s="38">
        <v>26500</v>
      </c>
      <c r="K159" s="35" t="s">
        <v>49</v>
      </c>
      <c r="L159" s="37">
        <v>44</v>
      </c>
      <c r="M159" s="38">
        <v>81000</v>
      </c>
      <c r="N159" s="35" t="str">
        <f t="shared" si="0"/>
        <v>Alto</v>
      </c>
      <c r="O159" s="35" t="str">
        <f t="shared" si="1"/>
        <v>Passa</v>
      </c>
      <c r="P159" s="35" t="str">
        <f t="shared" si="2"/>
        <v>Passa</v>
      </c>
      <c r="Q159" s="38">
        <f>IF(AND(O159="Negada",P159="Negada"),0,IF(A159="Ativo",M159*0.08,0))</f>
        <v>6480</v>
      </c>
    </row>
    <row r="160" spans="1:17" ht="15.75" customHeight="1">
      <c r="A160" s="35" t="s">
        <v>82</v>
      </c>
      <c r="B160" s="35" t="s">
        <v>415</v>
      </c>
      <c r="C160" s="35" t="s">
        <v>416</v>
      </c>
      <c r="D160" s="35" t="str">
        <f t="shared" si="5"/>
        <v>000.000.250-00</v>
      </c>
      <c r="E160" s="36">
        <v>38001</v>
      </c>
      <c r="F160" s="37">
        <v>22</v>
      </c>
      <c r="G160" s="35" t="s">
        <v>146</v>
      </c>
      <c r="H160" s="35" t="s">
        <v>128</v>
      </c>
      <c r="I160" s="38">
        <v>2100</v>
      </c>
      <c r="J160" s="38">
        <v>79500</v>
      </c>
      <c r="K160" s="35" t="s">
        <v>50</v>
      </c>
      <c r="L160" s="37">
        <v>29</v>
      </c>
      <c r="M160" s="38">
        <v>64000</v>
      </c>
      <c r="N160" s="35" t="str">
        <f t="shared" si="0"/>
        <v>Alto</v>
      </c>
      <c r="O160" s="35" t="str">
        <f t="shared" si="1"/>
        <v>Negada</v>
      </c>
      <c r="P160" s="35" t="str">
        <f t="shared" si="2"/>
        <v>Negada</v>
      </c>
      <c r="Q160" s="38">
        <f>IF(AND(O160="Negada",P160="Negada"),0,IF(A160="Ativo",M160*0.08,0))</f>
        <v>0</v>
      </c>
    </row>
    <row r="161" spans="1:17" ht="15.75" customHeight="1">
      <c r="A161" s="35" t="s">
        <v>82</v>
      </c>
      <c r="B161" s="35" t="s">
        <v>417</v>
      </c>
      <c r="C161" s="35" t="s">
        <v>418</v>
      </c>
      <c r="D161" s="35" t="str">
        <f t="shared" si="5"/>
        <v>000.000.186-00</v>
      </c>
      <c r="E161" s="36">
        <v>33955</v>
      </c>
      <c r="F161" s="37">
        <v>33</v>
      </c>
      <c r="G161" s="35" t="s">
        <v>153</v>
      </c>
      <c r="H161" s="35" t="s">
        <v>128</v>
      </c>
      <c r="I161" s="38">
        <v>25700</v>
      </c>
      <c r="J161" s="38">
        <v>35000</v>
      </c>
      <c r="K161" s="35" t="s">
        <v>49</v>
      </c>
      <c r="L161" s="37">
        <v>40</v>
      </c>
      <c r="M161" s="38">
        <v>1000</v>
      </c>
      <c r="N161" s="35" t="str">
        <f t="shared" si="0"/>
        <v>Alto</v>
      </c>
      <c r="O161" s="35" t="str">
        <f t="shared" si="1"/>
        <v>Passa</v>
      </c>
      <c r="P161" s="35" t="str">
        <f t="shared" si="2"/>
        <v>Passa</v>
      </c>
      <c r="Q161" s="38">
        <f>IF(AND(O161="Negada",P161="Negada"),0,IF(A161="Ativo",M161*0.08,0))</f>
        <v>0</v>
      </c>
    </row>
    <row r="162" spans="1:17" ht="15.75" customHeight="1">
      <c r="A162" s="35" t="s">
        <v>82</v>
      </c>
      <c r="B162" s="35" t="s">
        <v>419</v>
      </c>
      <c r="C162" s="35" t="s">
        <v>420</v>
      </c>
      <c r="D162" s="35" t="str">
        <f t="shared" si="5"/>
        <v>000.000.273-00</v>
      </c>
      <c r="E162" s="36">
        <v>21873</v>
      </c>
      <c r="F162" s="37">
        <v>66</v>
      </c>
      <c r="G162" s="35" t="s">
        <v>146</v>
      </c>
      <c r="H162" s="35" t="s">
        <v>128</v>
      </c>
      <c r="I162" s="38">
        <v>9900</v>
      </c>
      <c r="J162" s="38">
        <v>42000</v>
      </c>
      <c r="K162" s="35" t="s">
        <v>49</v>
      </c>
      <c r="L162" s="37">
        <v>13</v>
      </c>
      <c r="M162" s="38">
        <v>37000</v>
      </c>
      <c r="N162" s="35" t="str">
        <f t="shared" si="0"/>
        <v>Médio</v>
      </c>
      <c r="O162" s="35" t="str">
        <f t="shared" si="1"/>
        <v>Passa</v>
      </c>
      <c r="P162" s="35" t="str">
        <f t="shared" si="2"/>
        <v>Passa</v>
      </c>
      <c r="Q162" s="38">
        <f>IF(AND(O162="Negada",P162="Negada"),0,IF(A162="Ativo",M162*0.08,0))</f>
        <v>0</v>
      </c>
    </row>
    <row r="163" spans="1:17" ht="15.75" customHeight="1">
      <c r="A163" s="35" t="s">
        <v>77</v>
      </c>
      <c r="B163" s="35" t="s">
        <v>421</v>
      </c>
      <c r="C163" s="35" t="s">
        <v>422</v>
      </c>
      <c r="D163" s="35" t="str">
        <f t="shared" si="5"/>
        <v>000.000.337-00</v>
      </c>
      <c r="E163" s="36">
        <v>30167</v>
      </c>
      <c r="F163" s="37">
        <v>44</v>
      </c>
      <c r="G163" s="35" t="s">
        <v>133</v>
      </c>
      <c r="H163" s="35" t="s">
        <v>134</v>
      </c>
      <c r="I163" s="38">
        <v>5500</v>
      </c>
      <c r="J163" s="38">
        <v>26000</v>
      </c>
      <c r="K163" s="35" t="s">
        <v>49</v>
      </c>
      <c r="L163" s="37">
        <v>30</v>
      </c>
      <c r="M163" s="38">
        <v>64000</v>
      </c>
      <c r="N163" s="35" t="str">
        <f t="shared" si="0"/>
        <v>Alto</v>
      </c>
      <c r="O163" s="35" t="str">
        <f t="shared" si="1"/>
        <v>Passa</v>
      </c>
      <c r="P163" s="35" t="str">
        <f t="shared" si="2"/>
        <v>Passa</v>
      </c>
      <c r="Q163" s="38">
        <f>IF(AND(O163="Negada",P163="Negada"),0,IF(A163="Ativo",M163*0.08,0))</f>
        <v>5120</v>
      </c>
    </row>
    <row r="164" spans="1:17" ht="15.75" customHeight="1">
      <c r="A164" s="35" t="s">
        <v>82</v>
      </c>
      <c r="B164" s="35" t="s">
        <v>423</v>
      </c>
      <c r="C164" s="35" t="s">
        <v>424</v>
      </c>
      <c r="D164" s="35" t="str">
        <f t="shared" si="5"/>
        <v>000.000.258-00</v>
      </c>
      <c r="E164" s="36">
        <v>34154</v>
      </c>
      <c r="F164" s="37">
        <v>33</v>
      </c>
      <c r="G164" s="35" t="s">
        <v>127</v>
      </c>
      <c r="H164" s="35" t="s">
        <v>128</v>
      </c>
      <c r="I164" s="38">
        <v>2400</v>
      </c>
      <c r="J164" s="38">
        <v>78000</v>
      </c>
      <c r="K164" s="35" t="s">
        <v>49</v>
      </c>
      <c r="L164" s="37">
        <v>6</v>
      </c>
      <c r="M164" s="38">
        <v>28000</v>
      </c>
      <c r="N164" s="35" t="str">
        <f t="shared" si="0"/>
        <v>Baixo</v>
      </c>
      <c r="O164" s="35" t="str">
        <f t="shared" si="1"/>
        <v>Passa</v>
      </c>
      <c r="P164" s="35" t="str">
        <f t="shared" si="2"/>
        <v>Passa</v>
      </c>
      <c r="Q164" s="38">
        <f>IF(AND(O164="Negada",P164="Negada"),0,IF(A164="Ativo",M164*0.08,0))</f>
        <v>0</v>
      </c>
    </row>
    <row r="165" spans="1:17" ht="15.75" customHeight="1">
      <c r="A165" s="35" t="s">
        <v>77</v>
      </c>
      <c r="B165" s="35" t="s">
        <v>425</v>
      </c>
      <c r="C165" s="35" t="s">
        <v>426</v>
      </c>
      <c r="D165" s="35" t="str">
        <f t="shared" si="5"/>
        <v>000.000.254-00</v>
      </c>
      <c r="E165" s="36">
        <v>27505</v>
      </c>
      <c r="F165" s="37">
        <v>51</v>
      </c>
      <c r="G165" s="35" t="s">
        <v>215</v>
      </c>
      <c r="H165" s="35" t="s">
        <v>216</v>
      </c>
      <c r="I165" s="38">
        <v>7200</v>
      </c>
      <c r="J165" s="38">
        <v>17500</v>
      </c>
      <c r="K165" s="35" t="s">
        <v>50</v>
      </c>
      <c r="L165" s="37">
        <v>40</v>
      </c>
      <c r="M165" s="38">
        <v>5500</v>
      </c>
      <c r="N165" s="35" t="str">
        <f t="shared" si="0"/>
        <v>Alto</v>
      </c>
      <c r="O165" s="35" t="str">
        <f t="shared" si="1"/>
        <v>Negada</v>
      </c>
      <c r="P165" s="35" t="str">
        <f t="shared" si="2"/>
        <v>Passa</v>
      </c>
      <c r="Q165" s="38">
        <f>IF(AND(O165="Negada",P165="Negada"),0,IF(A165="Ativo",M165*0.08,0))</f>
        <v>440</v>
      </c>
    </row>
    <row r="166" spans="1:17" ht="15.75" customHeight="1">
      <c r="A166" s="35" t="s">
        <v>82</v>
      </c>
      <c r="B166" s="35" t="s">
        <v>427</v>
      </c>
      <c r="C166" s="35"/>
      <c r="D166" s="35" t="str">
        <f t="shared" si="5"/>
        <v>000.000.000-00</v>
      </c>
      <c r="E166" s="36">
        <v>23932</v>
      </c>
      <c r="F166" s="37">
        <v>61</v>
      </c>
      <c r="G166" s="35" t="s">
        <v>123</v>
      </c>
      <c r="H166" s="35" t="s">
        <v>124</v>
      </c>
      <c r="I166" s="38">
        <v>4100</v>
      </c>
      <c r="J166" s="38">
        <v>78000</v>
      </c>
      <c r="K166" s="35" t="s">
        <v>49</v>
      </c>
      <c r="L166" s="37">
        <v>25</v>
      </c>
      <c r="M166" s="38">
        <v>48000</v>
      </c>
      <c r="N166" s="35" t="str">
        <f t="shared" si="0"/>
        <v>Médio</v>
      </c>
      <c r="O166" s="35" t="str">
        <f t="shared" si="1"/>
        <v>Passa</v>
      </c>
      <c r="P166" s="35" t="str">
        <f t="shared" si="2"/>
        <v>Passa</v>
      </c>
      <c r="Q166" s="38">
        <f>IF(AND(O166="Negada",P166="Negada"),0,IF(A166="Ativo",M166*0.08,0))</f>
        <v>0</v>
      </c>
    </row>
    <row r="167" spans="1:17" ht="15.75" customHeight="1">
      <c r="A167" s="35" t="s">
        <v>77</v>
      </c>
      <c r="B167" s="35" t="s">
        <v>428</v>
      </c>
      <c r="C167" s="35" t="s">
        <v>429</v>
      </c>
      <c r="D167" s="35" t="str">
        <f t="shared" si="5"/>
        <v>000.000.188-00</v>
      </c>
      <c r="E167" s="36">
        <v>30355</v>
      </c>
      <c r="F167" s="37">
        <v>43</v>
      </c>
      <c r="G167" s="35" t="s">
        <v>139</v>
      </c>
      <c r="H167" s="35" t="s">
        <v>128</v>
      </c>
      <c r="I167" s="38">
        <v>21700</v>
      </c>
      <c r="J167" s="38">
        <v>31000</v>
      </c>
      <c r="K167" s="35" t="s">
        <v>49</v>
      </c>
      <c r="L167" s="37">
        <v>27</v>
      </c>
      <c r="M167" s="38">
        <v>45500</v>
      </c>
      <c r="N167" s="35" t="str">
        <f t="shared" si="0"/>
        <v>Alto</v>
      </c>
      <c r="O167" s="35" t="str">
        <f t="shared" si="1"/>
        <v>Passa</v>
      </c>
      <c r="P167" s="35" t="str">
        <f t="shared" si="2"/>
        <v>Passa</v>
      </c>
      <c r="Q167" s="38">
        <f>IF(AND(O167="Negada",P167="Negada"),0,IF(A167="Ativo",M167*0.08,0))</f>
        <v>3640</v>
      </c>
    </row>
    <row r="168" spans="1:17" ht="15.75" customHeight="1">
      <c r="A168" s="35" t="s">
        <v>77</v>
      </c>
      <c r="B168" s="35" t="s">
        <v>430</v>
      </c>
      <c r="C168" s="35" t="s">
        <v>431</v>
      </c>
      <c r="D168" s="35" t="str">
        <f t="shared" si="5"/>
        <v>000.000.097-00</v>
      </c>
      <c r="E168" s="36">
        <v>25808</v>
      </c>
      <c r="F168" s="37">
        <v>56</v>
      </c>
      <c r="G168" s="35" t="s">
        <v>133</v>
      </c>
      <c r="H168" s="35" t="s">
        <v>134</v>
      </c>
      <c r="I168" s="38">
        <v>5400</v>
      </c>
      <c r="J168" s="38">
        <v>61000</v>
      </c>
      <c r="K168" s="35" t="s">
        <v>49</v>
      </c>
      <c r="L168" s="37">
        <v>12</v>
      </c>
      <c r="M168" s="38">
        <v>96500</v>
      </c>
      <c r="N168" s="35" t="str">
        <f t="shared" si="0"/>
        <v>Médio</v>
      </c>
      <c r="O168" s="35" t="str">
        <f t="shared" si="1"/>
        <v>Passa</v>
      </c>
      <c r="P168" s="35" t="str">
        <f t="shared" si="2"/>
        <v>Passa</v>
      </c>
      <c r="Q168" s="38">
        <f>IF(AND(O168="Negada",P168="Negada"),0,IF(A168="Ativo",M168*0.08,0))</f>
        <v>7720</v>
      </c>
    </row>
    <row r="169" spans="1:17" ht="15.75" customHeight="1">
      <c r="A169" s="35" t="s">
        <v>77</v>
      </c>
      <c r="B169" s="35" t="s">
        <v>432</v>
      </c>
      <c r="C169" s="35" t="s">
        <v>433</v>
      </c>
      <c r="D169" s="35" t="str">
        <f t="shared" si="5"/>
        <v>000.000.102-00</v>
      </c>
      <c r="E169" s="36">
        <v>33444</v>
      </c>
      <c r="F169" s="37">
        <v>35</v>
      </c>
      <c r="G169" s="35" t="s">
        <v>88</v>
      </c>
      <c r="H169" s="35" t="s">
        <v>89</v>
      </c>
      <c r="I169" s="38">
        <v>8400</v>
      </c>
      <c r="J169" s="38">
        <v>62500</v>
      </c>
      <c r="K169" s="35" t="s">
        <v>49</v>
      </c>
      <c r="L169" s="37">
        <v>31</v>
      </c>
      <c r="M169" s="38">
        <v>83500</v>
      </c>
      <c r="N169" s="35" t="str">
        <f t="shared" si="0"/>
        <v>Alto</v>
      </c>
      <c r="O169" s="35" t="str">
        <f t="shared" si="1"/>
        <v>Passa</v>
      </c>
      <c r="P169" s="35" t="str">
        <f t="shared" si="2"/>
        <v>Passa</v>
      </c>
      <c r="Q169" s="38">
        <f>IF(AND(O169="Negada",P169="Negada"),0,IF(A169="Ativo",M169*0.08,0))</f>
        <v>6680</v>
      </c>
    </row>
    <row r="170" spans="1:17" ht="15.75" customHeight="1">
      <c r="A170" s="35" t="s">
        <v>82</v>
      </c>
      <c r="B170" s="35" t="s">
        <v>434</v>
      </c>
      <c r="C170" s="35" t="s">
        <v>435</v>
      </c>
      <c r="D170" s="35" t="str">
        <f t="shared" si="5"/>
        <v>000.000.291-00</v>
      </c>
      <c r="E170" s="36">
        <v>29948</v>
      </c>
      <c r="F170" s="37">
        <v>44</v>
      </c>
      <c r="G170" s="35" t="s">
        <v>165</v>
      </c>
      <c r="H170" s="35" t="s">
        <v>165</v>
      </c>
      <c r="I170" s="38"/>
      <c r="J170" s="38">
        <v>0</v>
      </c>
      <c r="K170" s="35" t="s">
        <v>49</v>
      </c>
      <c r="L170" s="37">
        <v>4</v>
      </c>
      <c r="M170" s="38">
        <v>80000</v>
      </c>
      <c r="N170" s="35" t="str">
        <f t="shared" si="0"/>
        <v>Baixo</v>
      </c>
      <c r="O170" s="35" t="str">
        <f t="shared" si="1"/>
        <v>Passa</v>
      </c>
      <c r="P170" s="35" t="str">
        <f t="shared" si="2"/>
        <v>Passa</v>
      </c>
      <c r="Q170" s="38">
        <f>IF(AND(O170="Negada",P170="Negada"),0,IF(A170="Ativo",M170*0.08,0))</f>
        <v>0</v>
      </c>
    </row>
    <row r="171" spans="1:17" ht="15.75" customHeight="1">
      <c r="A171" s="35" t="s">
        <v>82</v>
      </c>
      <c r="B171" s="35" t="s">
        <v>436</v>
      </c>
      <c r="C171" s="35" t="s">
        <v>437</v>
      </c>
      <c r="D171" s="35" t="str">
        <f t="shared" si="5"/>
        <v>000.000.211-00</v>
      </c>
      <c r="E171" s="36">
        <v>34738</v>
      </c>
      <c r="F171" s="37">
        <v>31</v>
      </c>
      <c r="G171" s="35" t="s">
        <v>133</v>
      </c>
      <c r="H171" s="35" t="s">
        <v>134</v>
      </c>
      <c r="I171" s="38">
        <v>22600</v>
      </c>
      <c r="J171" s="38">
        <v>58000</v>
      </c>
      <c r="K171" s="35" t="s">
        <v>49</v>
      </c>
      <c r="L171" s="37">
        <v>5</v>
      </c>
      <c r="M171" s="38">
        <v>26500</v>
      </c>
      <c r="N171" s="35" t="str">
        <f t="shared" si="0"/>
        <v>Baixo</v>
      </c>
      <c r="O171" s="35" t="str">
        <f t="shared" si="1"/>
        <v>Passa</v>
      </c>
      <c r="P171" s="35" t="str">
        <f t="shared" si="2"/>
        <v>Passa</v>
      </c>
      <c r="Q171" s="38">
        <f>IF(AND(O171="Negada",P171="Negada"),0,IF(A171="Ativo",M171*0.08,0))</f>
        <v>0</v>
      </c>
    </row>
    <row r="172" spans="1:17" ht="15.75" customHeight="1">
      <c r="A172" s="35" t="s">
        <v>82</v>
      </c>
      <c r="B172" s="35" t="s">
        <v>188</v>
      </c>
      <c r="C172" s="35" t="s">
        <v>438</v>
      </c>
      <c r="D172" s="35" t="str">
        <f t="shared" si="5"/>
        <v>000.000.040-00</v>
      </c>
      <c r="E172" s="36">
        <v>28663</v>
      </c>
      <c r="F172" s="37">
        <v>48</v>
      </c>
      <c r="G172" s="35" t="s">
        <v>197</v>
      </c>
      <c r="H172" s="35" t="s">
        <v>89</v>
      </c>
      <c r="I172" s="38">
        <v>24700</v>
      </c>
      <c r="J172" s="38">
        <v>30500</v>
      </c>
      <c r="K172" s="35" t="s">
        <v>49</v>
      </c>
      <c r="L172" s="37">
        <v>34</v>
      </c>
      <c r="M172" s="38">
        <v>87500</v>
      </c>
      <c r="N172" s="35" t="str">
        <f t="shared" si="0"/>
        <v>Alto</v>
      </c>
      <c r="O172" s="35" t="str">
        <f t="shared" si="1"/>
        <v>Passa</v>
      </c>
      <c r="P172" s="35" t="str">
        <f t="shared" si="2"/>
        <v>Passa</v>
      </c>
      <c r="Q172" s="38">
        <f>IF(AND(O172="Negada",P172="Negada"),0,IF(A172="Ativo",M172*0.08,0))</f>
        <v>0</v>
      </c>
    </row>
    <row r="173" spans="1:17" ht="15.75" customHeight="1">
      <c r="A173" s="35" t="s">
        <v>82</v>
      </c>
      <c r="B173" s="35" t="s">
        <v>439</v>
      </c>
      <c r="C173" s="35" t="s">
        <v>440</v>
      </c>
      <c r="D173" s="35" t="str">
        <f t="shared" si="5"/>
        <v>000.000.017-00</v>
      </c>
      <c r="E173" s="36">
        <v>35213</v>
      </c>
      <c r="F173" s="37">
        <v>30</v>
      </c>
      <c r="G173" s="35" t="s">
        <v>156</v>
      </c>
      <c r="H173" s="35" t="s">
        <v>134</v>
      </c>
      <c r="I173" s="38">
        <v>3900</v>
      </c>
      <c r="J173" s="38">
        <v>45000</v>
      </c>
      <c r="K173" s="35" t="s">
        <v>49</v>
      </c>
      <c r="L173" s="37">
        <v>34</v>
      </c>
      <c r="M173" s="38">
        <v>41500</v>
      </c>
      <c r="N173" s="35" t="str">
        <f t="shared" si="0"/>
        <v>Alto</v>
      </c>
      <c r="O173" s="35" t="str">
        <f t="shared" si="1"/>
        <v>Passa</v>
      </c>
      <c r="P173" s="35" t="str">
        <f t="shared" si="2"/>
        <v>Passa</v>
      </c>
      <c r="Q173" s="38">
        <f>IF(AND(O173="Negada",P173="Negada"),0,IF(A173="Ativo",M173*0.08,0))</f>
        <v>0</v>
      </c>
    </row>
    <row r="174" spans="1:17" ht="15.75" customHeight="1">
      <c r="A174" s="35" t="s">
        <v>82</v>
      </c>
      <c r="B174" s="35" t="s">
        <v>441</v>
      </c>
      <c r="C174" s="35" t="s">
        <v>442</v>
      </c>
      <c r="D174" s="35" t="str">
        <f t="shared" si="5"/>
        <v>000.000.241-00</v>
      </c>
      <c r="E174" s="36">
        <v>38328</v>
      </c>
      <c r="F174" s="37">
        <v>21</v>
      </c>
      <c r="G174" s="35" t="s">
        <v>92</v>
      </c>
      <c r="H174" s="35" t="s">
        <v>93</v>
      </c>
      <c r="I174" s="38">
        <v>4400</v>
      </c>
      <c r="J174" s="38">
        <v>23500</v>
      </c>
      <c r="K174" s="35" t="s">
        <v>50</v>
      </c>
      <c r="L174" s="37">
        <v>31</v>
      </c>
      <c r="M174" s="38">
        <v>91000</v>
      </c>
      <c r="N174" s="35" t="str">
        <f t="shared" si="0"/>
        <v>Alto</v>
      </c>
      <c r="O174" s="35" t="str">
        <f t="shared" si="1"/>
        <v>Negada</v>
      </c>
      <c r="P174" s="35" t="str">
        <f t="shared" si="2"/>
        <v>Passa</v>
      </c>
      <c r="Q174" s="38">
        <f>IF(AND(O174="Negada",P174="Negada"),0,IF(A174="Ativo",M174*0.08,0))</f>
        <v>0</v>
      </c>
    </row>
    <row r="175" spans="1:17" ht="15.75" customHeight="1">
      <c r="A175" s="35" t="s">
        <v>77</v>
      </c>
      <c r="B175" s="35" t="s">
        <v>443</v>
      </c>
      <c r="C175" s="35" t="s">
        <v>444</v>
      </c>
      <c r="D175" s="35" t="str">
        <f t="shared" si="5"/>
        <v>000.000.300-00</v>
      </c>
      <c r="E175" s="36">
        <v>28509</v>
      </c>
      <c r="F175" s="37">
        <v>48</v>
      </c>
      <c r="G175" s="35" t="s">
        <v>151</v>
      </c>
      <c r="H175" s="35" t="s">
        <v>124</v>
      </c>
      <c r="I175" s="38">
        <v>17800</v>
      </c>
      <c r="J175" s="38">
        <v>9000</v>
      </c>
      <c r="K175" s="35" t="s">
        <v>49</v>
      </c>
      <c r="L175" s="37">
        <v>28</v>
      </c>
      <c r="M175" s="38">
        <v>80000</v>
      </c>
      <c r="N175" s="35" t="str">
        <f t="shared" si="0"/>
        <v>Alto</v>
      </c>
      <c r="O175" s="35" t="str">
        <f t="shared" si="1"/>
        <v>Passa</v>
      </c>
      <c r="P175" s="35" t="str">
        <f t="shared" si="2"/>
        <v>Passa</v>
      </c>
      <c r="Q175" s="38">
        <f>IF(AND(O175="Negada",P175="Negada"),0,IF(A175="Ativo",M175*0.08,0))</f>
        <v>6400</v>
      </c>
    </row>
    <row r="176" spans="1:17" ht="15.75" customHeight="1">
      <c r="A176" s="35" t="s">
        <v>77</v>
      </c>
      <c r="B176" s="35" t="s">
        <v>445</v>
      </c>
      <c r="C176" s="35" t="s">
        <v>446</v>
      </c>
      <c r="D176" s="35" t="str">
        <f t="shared" si="5"/>
        <v>000.000.201-00</v>
      </c>
      <c r="E176" s="36">
        <v>25925</v>
      </c>
      <c r="F176" s="37">
        <v>55</v>
      </c>
      <c r="G176" s="35" t="s">
        <v>92</v>
      </c>
      <c r="H176" s="35" t="s">
        <v>93</v>
      </c>
      <c r="I176" s="38">
        <v>20200</v>
      </c>
      <c r="J176" s="38">
        <v>61000</v>
      </c>
      <c r="K176" s="35" t="s">
        <v>49</v>
      </c>
      <c r="L176" s="37">
        <v>10</v>
      </c>
      <c r="M176" s="38">
        <v>6500</v>
      </c>
      <c r="N176" s="35" t="str">
        <f t="shared" si="0"/>
        <v>Baixo</v>
      </c>
      <c r="O176" s="35" t="str">
        <f t="shared" si="1"/>
        <v>Passa</v>
      </c>
      <c r="P176" s="35" t="str">
        <f t="shared" si="2"/>
        <v>Passa</v>
      </c>
      <c r="Q176" s="38">
        <f>IF(AND(O176="Negada",P176="Negada"),0,IF(A176="Ativo",M176*0.08,0))</f>
        <v>520</v>
      </c>
    </row>
    <row r="177" spans="1:17" ht="15.75" customHeight="1">
      <c r="A177" s="35" t="s">
        <v>176</v>
      </c>
      <c r="B177" s="35" t="s">
        <v>447</v>
      </c>
      <c r="C177" s="35" t="s">
        <v>448</v>
      </c>
      <c r="D177" s="35" t="str">
        <f t="shared" si="5"/>
        <v>000.000.177-00</v>
      </c>
      <c r="E177" s="36">
        <v>25705</v>
      </c>
      <c r="F177" s="37">
        <v>56</v>
      </c>
      <c r="G177" s="35" t="s">
        <v>197</v>
      </c>
      <c r="H177" s="35" t="s">
        <v>89</v>
      </c>
      <c r="I177" s="38">
        <v>11100</v>
      </c>
      <c r="J177" s="38">
        <v>13000</v>
      </c>
      <c r="K177" s="35" t="s">
        <v>49</v>
      </c>
      <c r="L177" s="37">
        <v>38</v>
      </c>
      <c r="M177" s="38">
        <v>88000</v>
      </c>
      <c r="N177" s="35" t="str">
        <f t="shared" si="0"/>
        <v>Alto</v>
      </c>
      <c r="O177" s="35" t="str">
        <f t="shared" si="1"/>
        <v>Passa</v>
      </c>
      <c r="P177" s="35" t="str">
        <f t="shared" si="2"/>
        <v>Passa</v>
      </c>
      <c r="Q177" s="38">
        <f>IF(AND(O177="Negada",P177="Negada"),0,IF(A177="Ativo",M177*0.08,0))</f>
        <v>0</v>
      </c>
    </row>
    <row r="178" spans="1:17" ht="15.75" customHeight="1">
      <c r="A178" s="35" t="s">
        <v>77</v>
      </c>
      <c r="B178" s="35" t="s">
        <v>449</v>
      </c>
      <c r="C178" s="35" t="s">
        <v>450</v>
      </c>
      <c r="D178" s="35" t="str">
        <f t="shared" si="5"/>
        <v>000.000.070-00</v>
      </c>
      <c r="E178" s="36">
        <v>23337</v>
      </c>
      <c r="F178" s="37">
        <v>62</v>
      </c>
      <c r="G178" s="35" t="s">
        <v>88</v>
      </c>
      <c r="H178" s="35" t="s">
        <v>89</v>
      </c>
      <c r="I178" s="38">
        <v>11900</v>
      </c>
      <c r="J178" s="38">
        <v>58500</v>
      </c>
      <c r="K178" s="35" t="s">
        <v>49</v>
      </c>
      <c r="L178" s="37">
        <v>37</v>
      </c>
      <c r="M178" s="38">
        <v>48000</v>
      </c>
      <c r="N178" s="35" t="str">
        <f t="shared" si="0"/>
        <v>Alto</v>
      </c>
      <c r="O178" s="35" t="str">
        <f t="shared" si="1"/>
        <v>Passa</v>
      </c>
      <c r="P178" s="35" t="str">
        <f t="shared" si="2"/>
        <v>Passa</v>
      </c>
      <c r="Q178" s="38">
        <f>IF(AND(O178="Negada",P178="Negada"),0,IF(A178="Ativo",M178*0.08,0))</f>
        <v>3840</v>
      </c>
    </row>
    <row r="179" spans="1:17" ht="15.75" customHeight="1">
      <c r="A179" s="35" t="s">
        <v>77</v>
      </c>
      <c r="B179" s="35" t="s">
        <v>451</v>
      </c>
      <c r="C179" s="35" t="s">
        <v>452</v>
      </c>
      <c r="D179" s="35" t="str">
        <f t="shared" si="5"/>
        <v>000.000.143-00</v>
      </c>
      <c r="E179" s="36">
        <v>36619</v>
      </c>
      <c r="F179" s="37">
        <v>26</v>
      </c>
      <c r="G179" s="35" t="s">
        <v>151</v>
      </c>
      <c r="H179" s="35" t="s">
        <v>124</v>
      </c>
      <c r="I179" s="38">
        <v>26800</v>
      </c>
      <c r="J179" s="38">
        <v>42500</v>
      </c>
      <c r="K179" s="35" t="s">
        <v>50</v>
      </c>
      <c r="L179" s="37">
        <v>29</v>
      </c>
      <c r="M179" s="38">
        <v>66000</v>
      </c>
      <c r="N179" s="35" t="str">
        <f t="shared" si="0"/>
        <v>Alto</v>
      </c>
      <c r="O179" s="35" t="str">
        <f t="shared" si="1"/>
        <v>Negada</v>
      </c>
      <c r="P179" s="35" t="str">
        <f t="shared" si="2"/>
        <v>Passa</v>
      </c>
      <c r="Q179" s="38">
        <f>IF(AND(O179="Negada",P179="Negada"),0,IF(A179="Ativo",M179*0.08,0))</f>
        <v>5280</v>
      </c>
    </row>
    <row r="180" spans="1:17" ht="15.75" customHeight="1">
      <c r="A180" s="35" t="s">
        <v>77</v>
      </c>
      <c r="B180" s="35" t="s">
        <v>453</v>
      </c>
      <c r="C180" s="35" t="s">
        <v>454</v>
      </c>
      <c r="D180" s="35" t="str">
        <f t="shared" si="5"/>
        <v>000.000.178-00</v>
      </c>
      <c r="E180" s="36">
        <v>35109</v>
      </c>
      <c r="F180" s="37">
        <v>30</v>
      </c>
      <c r="G180" s="35" t="s">
        <v>84</v>
      </c>
      <c r="H180" s="35" t="s">
        <v>85</v>
      </c>
      <c r="I180" s="38">
        <v>2600</v>
      </c>
      <c r="J180" s="38">
        <v>62000</v>
      </c>
      <c r="K180" s="35" t="s">
        <v>49</v>
      </c>
      <c r="L180" s="37">
        <v>22</v>
      </c>
      <c r="M180" s="38">
        <v>62000</v>
      </c>
      <c r="N180" s="35" t="str">
        <f t="shared" si="0"/>
        <v>Médio</v>
      </c>
      <c r="O180" s="35" t="str">
        <f t="shared" si="1"/>
        <v>Passa</v>
      </c>
      <c r="P180" s="35" t="str">
        <f t="shared" si="2"/>
        <v>Passa</v>
      </c>
      <c r="Q180" s="38">
        <f>IF(AND(O180="Negada",P180="Negada"),0,IF(A180="Ativo",M180*0.08,0))</f>
        <v>4960</v>
      </c>
    </row>
    <row r="181" spans="1:17" ht="15.75" customHeight="1">
      <c r="A181" s="35" t="s">
        <v>77</v>
      </c>
      <c r="B181" s="35" t="s">
        <v>455</v>
      </c>
      <c r="C181" s="35" t="s">
        <v>456</v>
      </c>
      <c r="D181" s="35" t="str">
        <f t="shared" si="5"/>
        <v>000.000.326-00</v>
      </c>
      <c r="E181" s="36">
        <v>19168</v>
      </c>
      <c r="F181" s="37">
        <v>74</v>
      </c>
      <c r="G181" s="35" t="s">
        <v>92</v>
      </c>
      <c r="H181" s="35" t="s">
        <v>93</v>
      </c>
      <c r="I181" s="38">
        <v>25000</v>
      </c>
      <c r="J181" s="38">
        <v>0</v>
      </c>
      <c r="K181" s="35" t="s">
        <v>49</v>
      </c>
      <c r="L181" s="37">
        <v>3</v>
      </c>
      <c r="M181" s="38">
        <v>2500</v>
      </c>
      <c r="N181" s="35" t="str">
        <f t="shared" si="0"/>
        <v>Baixo</v>
      </c>
      <c r="O181" s="35" t="str">
        <f t="shared" si="1"/>
        <v>Passa</v>
      </c>
      <c r="P181" s="35" t="str">
        <f t="shared" si="2"/>
        <v>Passa</v>
      </c>
      <c r="Q181" s="38">
        <f>IF(AND(O181="Negada",P181="Negada"),0,IF(A181="Ativo",M181*0.08,0))</f>
        <v>200</v>
      </c>
    </row>
    <row r="182" spans="1:17" ht="15.75" customHeight="1">
      <c r="A182" s="35" t="s">
        <v>82</v>
      </c>
      <c r="B182" s="35" t="s">
        <v>457</v>
      </c>
      <c r="C182" s="35" t="s">
        <v>458</v>
      </c>
      <c r="D182" s="35" t="str">
        <f t="shared" si="5"/>
        <v>000.000.245-00</v>
      </c>
      <c r="E182" s="36">
        <v>22205</v>
      </c>
      <c r="F182" s="37">
        <v>65</v>
      </c>
      <c r="G182" s="35" t="s">
        <v>127</v>
      </c>
      <c r="H182" s="35" t="s">
        <v>128</v>
      </c>
      <c r="I182" s="38">
        <v>19800</v>
      </c>
      <c r="J182" s="38">
        <v>78500</v>
      </c>
      <c r="K182" s="35" t="s">
        <v>49</v>
      </c>
      <c r="L182" s="37">
        <v>34</v>
      </c>
      <c r="M182" s="38">
        <v>23000</v>
      </c>
      <c r="N182" s="35" t="str">
        <f t="shared" si="0"/>
        <v>Alto</v>
      </c>
      <c r="O182" s="35" t="str">
        <f t="shared" si="1"/>
        <v>Passa</v>
      </c>
      <c r="P182" s="35" t="str">
        <f t="shared" si="2"/>
        <v>Passa</v>
      </c>
      <c r="Q182" s="38">
        <f>IF(AND(O182="Negada",P182="Negada"),0,IF(A182="Ativo",M182*0.08,0))</f>
        <v>0</v>
      </c>
    </row>
    <row r="183" spans="1:17" ht="15.75" customHeight="1">
      <c r="A183" s="35" t="s">
        <v>82</v>
      </c>
      <c r="B183" s="35" t="s">
        <v>459</v>
      </c>
      <c r="C183" s="35" t="s">
        <v>460</v>
      </c>
      <c r="D183" s="35" t="str">
        <f t="shared" si="5"/>
        <v>000.000.061-00</v>
      </c>
      <c r="E183" s="36">
        <v>24726</v>
      </c>
      <c r="F183" s="37">
        <v>58</v>
      </c>
      <c r="G183" s="35" t="s">
        <v>108</v>
      </c>
      <c r="H183" s="35" t="s">
        <v>109</v>
      </c>
      <c r="I183" s="38">
        <v>20100</v>
      </c>
      <c r="J183" s="38">
        <v>40000</v>
      </c>
      <c r="K183" s="35" t="s">
        <v>49</v>
      </c>
      <c r="L183" s="37">
        <v>16</v>
      </c>
      <c r="M183" s="38">
        <v>98500</v>
      </c>
      <c r="N183" s="35" t="str">
        <f t="shared" si="0"/>
        <v>Médio</v>
      </c>
      <c r="O183" s="35" t="str">
        <f t="shared" si="1"/>
        <v>Passa</v>
      </c>
      <c r="P183" s="35" t="str">
        <f t="shared" si="2"/>
        <v>Passa</v>
      </c>
      <c r="Q183" s="38">
        <f>IF(AND(O183="Negada",P183="Negada"),0,IF(A183="Ativo",M183*0.08,0))</f>
        <v>0</v>
      </c>
    </row>
    <row r="184" spans="1:17" ht="15.75" customHeight="1">
      <c r="A184" s="35" t="s">
        <v>77</v>
      </c>
      <c r="B184" s="35" t="s">
        <v>461</v>
      </c>
      <c r="C184" s="35" t="s">
        <v>462</v>
      </c>
      <c r="D184" s="35" t="str">
        <f t="shared" si="5"/>
        <v>000.000.023-00</v>
      </c>
      <c r="E184" s="36">
        <v>29769</v>
      </c>
      <c r="F184" s="37">
        <v>45</v>
      </c>
      <c r="G184" s="35" t="s">
        <v>84</v>
      </c>
      <c r="H184" s="35" t="s">
        <v>85</v>
      </c>
      <c r="I184" s="38">
        <v>24400</v>
      </c>
      <c r="J184" s="38">
        <v>7500</v>
      </c>
      <c r="K184" s="35" t="s">
        <v>49</v>
      </c>
      <c r="L184" s="37">
        <v>13</v>
      </c>
      <c r="M184" s="38">
        <v>95000</v>
      </c>
      <c r="N184" s="35" t="str">
        <f t="shared" si="0"/>
        <v>Médio</v>
      </c>
      <c r="O184" s="35" t="str">
        <f t="shared" si="1"/>
        <v>Passa</v>
      </c>
      <c r="P184" s="35" t="str">
        <f t="shared" si="2"/>
        <v>Passa</v>
      </c>
      <c r="Q184" s="38">
        <f>IF(AND(O184="Negada",P184="Negada"),0,IF(A184="Ativo",M184*0.08,0))</f>
        <v>7600</v>
      </c>
    </row>
    <row r="185" spans="1:17" ht="15.75" customHeight="1">
      <c r="A185" s="35" t="s">
        <v>77</v>
      </c>
      <c r="B185" s="35" t="s">
        <v>463</v>
      </c>
      <c r="C185" s="35" t="s">
        <v>464</v>
      </c>
      <c r="D185" s="35" t="str">
        <f t="shared" si="5"/>
        <v>000.000.348-00</v>
      </c>
      <c r="E185" s="36">
        <v>36596</v>
      </c>
      <c r="F185" s="37">
        <v>26</v>
      </c>
      <c r="G185" s="35" t="s">
        <v>139</v>
      </c>
      <c r="H185" s="35" t="s">
        <v>128</v>
      </c>
      <c r="I185" s="38">
        <v>3500</v>
      </c>
      <c r="J185" s="38">
        <v>50000</v>
      </c>
      <c r="K185" s="35" t="s">
        <v>49</v>
      </c>
      <c r="L185" s="37">
        <v>40</v>
      </c>
      <c r="M185" s="38">
        <v>46500</v>
      </c>
      <c r="N185" s="35" t="str">
        <f t="shared" si="0"/>
        <v>Alto</v>
      </c>
      <c r="O185" s="35" t="str">
        <f t="shared" si="1"/>
        <v>Passa</v>
      </c>
      <c r="P185" s="35" t="str">
        <f t="shared" si="2"/>
        <v>Passa</v>
      </c>
      <c r="Q185" s="38">
        <f>IF(AND(O185="Negada",P185="Negada"),0,IF(A185="Ativo",M185*0.08,0))</f>
        <v>3720</v>
      </c>
    </row>
    <row r="186" spans="1:17" ht="15.75" customHeight="1">
      <c r="A186" s="35" t="s">
        <v>77</v>
      </c>
      <c r="B186" s="35" t="s">
        <v>465</v>
      </c>
      <c r="C186" s="35" t="s">
        <v>466</v>
      </c>
      <c r="D186" s="35" t="str">
        <f t="shared" si="5"/>
        <v>000.000.301-00</v>
      </c>
      <c r="E186" s="36">
        <v>30898</v>
      </c>
      <c r="F186" s="37">
        <v>42</v>
      </c>
      <c r="G186" s="35" t="s">
        <v>98</v>
      </c>
      <c r="H186" s="35" t="s">
        <v>99</v>
      </c>
      <c r="I186" s="38">
        <v>20800</v>
      </c>
      <c r="J186" s="38">
        <v>54000</v>
      </c>
      <c r="K186" s="35" t="s">
        <v>49</v>
      </c>
      <c r="L186" s="37">
        <v>4</v>
      </c>
      <c r="M186" s="38">
        <v>73500</v>
      </c>
      <c r="N186" s="35" t="str">
        <f t="shared" si="0"/>
        <v>Baixo</v>
      </c>
      <c r="O186" s="35" t="str">
        <f t="shared" si="1"/>
        <v>Passa</v>
      </c>
      <c r="P186" s="35" t="str">
        <f t="shared" si="2"/>
        <v>Passa</v>
      </c>
      <c r="Q186" s="38">
        <f>IF(AND(O186="Negada",P186="Negada"),0,IF(A186="Ativo",M186*0.08,0))</f>
        <v>5880</v>
      </c>
    </row>
    <row r="187" spans="1:17" ht="15.75" customHeight="1">
      <c r="A187" s="35" t="s">
        <v>82</v>
      </c>
      <c r="B187" s="35" t="s">
        <v>467</v>
      </c>
      <c r="C187" s="35" t="s">
        <v>468</v>
      </c>
      <c r="D187" s="35" t="str">
        <f t="shared" si="5"/>
        <v>000.000.045-00</v>
      </c>
      <c r="E187" s="36">
        <v>21954</v>
      </c>
      <c r="F187" s="37">
        <v>66</v>
      </c>
      <c r="G187" s="35" t="s">
        <v>197</v>
      </c>
      <c r="H187" s="35" t="s">
        <v>89</v>
      </c>
      <c r="I187" s="38">
        <v>3400</v>
      </c>
      <c r="J187" s="38">
        <v>78000</v>
      </c>
      <c r="K187" s="35" t="s">
        <v>49</v>
      </c>
      <c r="L187" s="37">
        <v>9</v>
      </c>
      <c r="M187" s="38">
        <v>51500</v>
      </c>
      <c r="N187" s="35" t="str">
        <f t="shared" si="0"/>
        <v>Baixo</v>
      </c>
      <c r="O187" s="35" t="str">
        <f t="shared" si="1"/>
        <v>Passa</v>
      </c>
      <c r="P187" s="35" t="str">
        <f t="shared" si="2"/>
        <v>Passa</v>
      </c>
      <c r="Q187" s="38">
        <f>IF(AND(O187="Negada",P187="Negada"),0,IF(A187="Ativo",M187*0.08,0))</f>
        <v>0</v>
      </c>
    </row>
    <row r="188" spans="1:17" ht="15.75" customHeight="1">
      <c r="A188" s="35" t="s">
        <v>82</v>
      </c>
      <c r="B188" s="35" t="s">
        <v>469</v>
      </c>
      <c r="C188" s="35" t="s">
        <v>470</v>
      </c>
      <c r="D188" s="35" t="str">
        <f t="shared" si="5"/>
        <v>000.000.122-00</v>
      </c>
      <c r="E188" s="36">
        <v>28049</v>
      </c>
      <c r="F188" s="37">
        <v>49</v>
      </c>
      <c r="G188" s="35" t="s">
        <v>127</v>
      </c>
      <c r="H188" s="35" t="s">
        <v>128</v>
      </c>
      <c r="I188" s="38">
        <v>25200</v>
      </c>
      <c r="J188" s="38">
        <v>59500</v>
      </c>
      <c r="K188" s="35" t="s">
        <v>49</v>
      </c>
      <c r="L188" s="37">
        <v>37</v>
      </c>
      <c r="M188" s="38">
        <v>86500</v>
      </c>
      <c r="N188" s="35" t="str">
        <f t="shared" si="0"/>
        <v>Alto</v>
      </c>
      <c r="O188" s="35" t="str">
        <f t="shared" si="1"/>
        <v>Passa</v>
      </c>
      <c r="P188" s="35" t="str">
        <f t="shared" si="2"/>
        <v>Passa</v>
      </c>
      <c r="Q188" s="38">
        <f>IF(AND(O188="Negada",P188="Negada"),0,IF(A188="Ativo",M188*0.08,0))</f>
        <v>0</v>
      </c>
    </row>
    <row r="189" spans="1:17" ht="15.75" customHeight="1">
      <c r="A189" s="35" t="s">
        <v>77</v>
      </c>
      <c r="B189" s="35" t="s">
        <v>471</v>
      </c>
      <c r="C189" s="35" t="s">
        <v>472</v>
      </c>
      <c r="D189" s="35" t="str">
        <f t="shared" si="5"/>
        <v>000.000.354-00</v>
      </c>
      <c r="E189" s="36">
        <v>24021</v>
      </c>
      <c r="F189" s="37">
        <v>60</v>
      </c>
      <c r="G189" s="35" t="s">
        <v>153</v>
      </c>
      <c r="H189" s="35" t="s">
        <v>128</v>
      </c>
      <c r="I189" s="38">
        <v>22900</v>
      </c>
      <c r="J189" s="38">
        <v>4500</v>
      </c>
      <c r="K189" s="35" t="s">
        <v>50</v>
      </c>
      <c r="L189" s="37">
        <v>29</v>
      </c>
      <c r="M189" s="38">
        <v>43500</v>
      </c>
      <c r="N189" s="35" t="str">
        <f t="shared" si="0"/>
        <v>Alto</v>
      </c>
      <c r="O189" s="35" t="str">
        <f t="shared" si="1"/>
        <v>Negada</v>
      </c>
      <c r="P189" s="35" t="str">
        <f t="shared" si="2"/>
        <v>Passa</v>
      </c>
      <c r="Q189" s="38">
        <f>IF(AND(O189="Negada",P189="Negada"),0,IF(A189="Ativo",M189*0.08,0))</f>
        <v>3480</v>
      </c>
    </row>
    <row r="190" spans="1:17" ht="15.75" customHeight="1">
      <c r="A190" s="35" t="s">
        <v>82</v>
      </c>
      <c r="B190" s="35" t="s">
        <v>473</v>
      </c>
      <c r="C190" s="35" t="s">
        <v>474</v>
      </c>
      <c r="D190" s="35" t="str">
        <f t="shared" si="5"/>
        <v>000.000.175-00</v>
      </c>
      <c r="E190" s="36">
        <v>24091</v>
      </c>
      <c r="F190" s="37">
        <v>60</v>
      </c>
      <c r="G190" s="35" t="s">
        <v>98</v>
      </c>
      <c r="H190" s="35" t="s">
        <v>99</v>
      </c>
      <c r="I190" s="38">
        <v>10100</v>
      </c>
      <c r="J190" s="38">
        <v>55000</v>
      </c>
      <c r="K190" s="35" t="s">
        <v>49</v>
      </c>
      <c r="L190" s="37">
        <v>26</v>
      </c>
      <c r="M190" s="38">
        <v>54000</v>
      </c>
      <c r="N190" s="35" t="str">
        <f t="shared" si="0"/>
        <v>Alto</v>
      </c>
      <c r="O190" s="35" t="str">
        <f t="shared" si="1"/>
        <v>Passa</v>
      </c>
      <c r="P190" s="35" t="str">
        <f t="shared" si="2"/>
        <v>Passa</v>
      </c>
      <c r="Q190" s="38">
        <f>IF(AND(O190="Negada",P190="Negada"),0,IF(A190="Ativo",M190*0.08,0))</f>
        <v>0</v>
      </c>
    </row>
    <row r="191" spans="1:17" ht="15.75" customHeight="1">
      <c r="A191" s="35" t="s">
        <v>77</v>
      </c>
      <c r="B191" s="35" t="s">
        <v>475</v>
      </c>
      <c r="C191" s="35" t="s">
        <v>476</v>
      </c>
      <c r="D191" s="35" t="str">
        <f t="shared" si="5"/>
        <v>000.000.163-00</v>
      </c>
      <c r="E191" s="36">
        <v>36255</v>
      </c>
      <c r="F191" s="37">
        <v>27</v>
      </c>
      <c r="G191" s="35" t="s">
        <v>127</v>
      </c>
      <c r="H191" s="35" t="s">
        <v>128</v>
      </c>
      <c r="I191" s="38">
        <v>14000</v>
      </c>
      <c r="J191" s="38">
        <v>63500</v>
      </c>
      <c r="K191" s="35" t="s">
        <v>49</v>
      </c>
      <c r="L191" s="37">
        <v>24</v>
      </c>
      <c r="M191" s="38">
        <v>87000</v>
      </c>
      <c r="N191" s="35" t="str">
        <f t="shared" si="0"/>
        <v>Médio</v>
      </c>
      <c r="O191" s="35" t="str">
        <f t="shared" si="1"/>
        <v>Passa</v>
      </c>
      <c r="P191" s="35" t="str">
        <f t="shared" si="2"/>
        <v>Passa</v>
      </c>
      <c r="Q191" s="38">
        <f>IF(AND(O191="Negada",P191="Negada"),0,IF(A191="Ativo",M191*0.08,0))</f>
        <v>6960</v>
      </c>
    </row>
    <row r="192" spans="1:17" ht="15.75" customHeight="1">
      <c r="A192" s="35" t="s">
        <v>77</v>
      </c>
      <c r="B192" s="35" t="s">
        <v>477</v>
      </c>
      <c r="C192" s="35" t="s">
        <v>478</v>
      </c>
      <c r="D192" s="35" t="str">
        <f t="shared" si="5"/>
        <v>000.000.197-00</v>
      </c>
      <c r="E192" s="36">
        <v>26898</v>
      </c>
      <c r="F192" s="37">
        <v>53</v>
      </c>
      <c r="G192" s="35" t="s">
        <v>146</v>
      </c>
      <c r="H192" s="35" t="s">
        <v>128</v>
      </c>
      <c r="I192" s="38">
        <v>27100</v>
      </c>
      <c r="J192" s="38">
        <v>68000</v>
      </c>
      <c r="K192" s="35" t="s">
        <v>49</v>
      </c>
      <c r="L192" s="37">
        <v>40</v>
      </c>
      <c r="M192" s="38">
        <v>49500</v>
      </c>
      <c r="N192" s="35" t="str">
        <f t="shared" si="0"/>
        <v>Alto</v>
      </c>
      <c r="O192" s="35" t="str">
        <f t="shared" si="1"/>
        <v>Passa</v>
      </c>
      <c r="P192" s="35" t="str">
        <f t="shared" si="2"/>
        <v>Passa</v>
      </c>
      <c r="Q192" s="38">
        <f>IF(AND(O192="Negada",P192="Negada"),0,IF(A192="Ativo",M192*0.08,0))</f>
        <v>3960</v>
      </c>
    </row>
    <row r="193" spans="1:17" ht="15.75" customHeight="1">
      <c r="A193" s="35" t="s">
        <v>77</v>
      </c>
      <c r="B193" s="35" t="s">
        <v>479</v>
      </c>
      <c r="C193" s="35" t="s">
        <v>480</v>
      </c>
      <c r="D193" s="35" t="str">
        <f t="shared" si="5"/>
        <v>000.000.168-00</v>
      </c>
      <c r="E193" s="36">
        <v>32414</v>
      </c>
      <c r="F193" s="37">
        <v>37</v>
      </c>
      <c r="G193" s="35" t="s">
        <v>88</v>
      </c>
      <c r="H193" s="35" t="s">
        <v>89</v>
      </c>
      <c r="I193" s="38">
        <v>12800</v>
      </c>
      <c r="J193" s="38">
        <v>76500</v>
      </c>
      <c r="K193" s="35" t="s">
        <v>49</v>
      </c>
      <c r="L193" s="37">
        <v>30</v>
      </c>
      <c r="M193" s="38">
        <v>18500</v>
      </c>
      <c r="N193" s="35" t="str">
        <f t="shared" si="0"/>
        <v>Alto</v>
      </c>
      <c r="O193" s="35" t="str">
        <f t="shared" si="1"/>
        <v>Passa</v>
      </c>
      <c r="P193" s="35" t="str">
        <f t="shared" si="2"/>
        <v>Passa</v>
      </c>
      <c r="Q193" s="38">
        <f>IF(AND(O193="Negada",P193="Negada"),0,IF(A193="Ativo",M193*0.08,0))</f>
        <v>1480</v>
      </c>
    </row>
    <row r="194" spans="1:17" ht="15.75" customHeight="1">
      <c r="A194" s="35" t="s">
        <v>77</v>
      </c>
      <c r="B194" s="35" t="s">
        <v>481</v>
      </c>
      <c r="C194" s="35" t="s">
        <v>482</v>
      </c>
      <c r="D194" s="35" t="str">
        <f t="shared" si="5"/>
        <v>000.000.350-00</v>
      </c>
      <c r="E194" s="36">
        <v>39342</v>
      </c>
      <c r="F194" s="37">
        <v>18</v>
      </c>
      <c r="G194" s="35" t="s">
        <v>133</v>
      </c>
      <c r="H194" s="35" t="s">
        <v>134</v>
      </c>
      <c r="I194" s="38">
        <v>28900</v>
      </c>
      <c r="J194" s="38">
        <v>22000</v>
      </c>
      <c r="K194" s="35" t="s">
        <v>49</v>
      </c>
      <c r="L194" s="37">
        <v>23</v>
      </c>
      <c r="M194" s="38">
        <v>90000</v>
      </c>
      <c r="N194" s="35" t="str">
        <f t="shared" si="0"/>
        <v>Médio</v>
      </c>
      <c r="O194" s="35" t="str">
        <f t="shared" si="1"/>
        <v>Passa</v>
      </c>
      <c r="P194" s="35" t="str">
        <f t="shared" si="2"/>
        <v>Passa</v>
      </c>
      <c r="Q194" s="38">
        <f>IF(AND(O194="Negada",P194="Negada"),0,IF(A194="Ativo",M194*0.08,0))</f>
        <v>7200</v>
      </c>
    </row>
    <row r="195" spans="1:17" ht="15.75" customHeight="1">
      <c r="A195" s="35" t="s">
        <v>77</v>
      </c>
      <c r="B195" s="35" t="s">
        <v>259</v>
      </c>
      <c r="C195" s="35" t="s">
        <v>260</v>
      </c>
      <c r="D195" s="35" t="str">
        <f t="shared" ref="D195:D258" si="6">TEXT(C195,"000\.000\.000\-00")</f>
        <v>000.000.283-00</v>
      </c>
      <c r="E195" s="36">
        <v>36308</v>
      </c>
      <c r="F195" s="37">
        <v>27</v>
      </c>
      <c r="G195" s="35" t="s">
        <v>123</v>
      </c>
      <c r="H195" s="35" t="s">
        <v>124</v>
      </c>
      <c r="I195" s="38">
        <v>5300</v>
      </c>
      <c r="J195" s="38">
        <v>22000</v>
      </c>
      <c r="K195" s="35" t="s">
        <v>49</v>
      </c>
      <c r="L195" s="37">
        <v>11</v>
      </c>
      <c r="M195" s="38">
        <v>4500</v>
      </c>
      <c r="N195" s="35" t="str">
        <f t="shared" si="0"/>
        <v>Médio</v>
      </c>
      <c r="O195" s="35" t="str">
        <f t="shared" si="1"/>
        <v>Passa</v>
      </c>
      <c r="P195" s="35" t="str">
        <f t="shared" si="2"/>
        <v>Passa</v>
      </c>
      <c r="Q195" s="38">
        <f>IF(AND(O195="Negada",P195="Negada"),0,IF(A195="Ativo",M195*0.08,0))</f>
        <v>360</v>
      </c>
    </row>
    <row r="196" spans="1:17" ht="15.75" customHeight="1">
      <c r="A196" s="35" t="s">
        <v>77</v>
      </c>
      <c r="B196" s="35" t="s">
        <v>483</v>
      </c>
      <c r="C196" s="35" t="s">
        <v>484</v>
      </c>
      <c r="D196" s="35" t="str">
        <f t="shared" si="6"/>
        <v>000.000.037-00</v>
      </c>
      <c r="E196" s="36">
        <v>36824</v>
      </c>
      <c r="F196" s="37">
        <v>25</v>
      </c>
      <c r="G196" s="35" t="s">
        <v>127</v>
      </c>
      <c r="H196" s="35" t="s">
        <v>128</v>
      </c>
      <c r="I196" s="38">
        <v>18300</v>
      </c>
      <c r="J196" s="38">
        <v>41000</v>
      </c>
      <c r="K196" s="35" t="s">
        <v>49</v>
      </c>
      <c r="L196" s="37">
        <v>9</v>
      </c>
      <c r="M196" s="38">
        <v>32500</v>
      </c>
      <c r="N196" s="35" t="str">
        <f t="shared" si="0"/>
        <v>Baixo</v>
      </c>
      <c r="O196" s="35" t="str">
        <f t="shared" si="1"/>
        <v>Passa</v>
      </c>
      <c r="P196" s="35" t="str">
        <f t="shared" si="2"/>
        <v>Passa</v>
      </c>
      <c r="Q196" s="38">
        <f>IF(AND(O196="Negada",P196="Negada"),0,IF(A196="Ativo",M196*0.08,0))</f>
        <v>2600</v>
      </c>
    </row>
    <row r="197" spans="1:17" ht="15.75" customHeight="1">
      <c r="A197" s="35" t="s">
        <v>77</v>
      </c>
      <c r="B197" s="35" t="s">
        <v>485</v>
      </c>
      <c r="C197" s="35" t="s">
        <v>486</v>
      </c>
      <c r="D197" s="35" t="str">
        <f t="shared" si="6"/>
        <v>000.000.224-00</v>
      </c>
      <c r="E197" s="36">
        <v>26103</v>
      </c>
      <c r="F197" s="37">
        <v>55</v>
      </c>
      <c r="G197" s="35" t="s">
        <v>84</v>
      </c>
      <c r="H197" s="35" t="s">
        <v>85</v>
      </c>
      <c r="I197" s="38">
        <v>9600</v>
      </c>
      <c r="J197" s="38">
        <v>43000</v>
      </c>
      <c r="K197" s="35" t="s">
        <v>49</v>
      </c>
      <c r="L197" s="37">
        <v>36</v>
      </c>
      <c r="M197" s="38">
        <v>67500</v>
      </c>
      <c r="N197" s="35" t="str">
        <f t="shared" si="0"/>
        <v>Alto</v>
      </c>
      <c r="O197" s="35" t="str">
        <f t="shared" si="1"/>
        <v>Passa</v>
      </c>
      <c r="P197" s="35" t="str">
        <f t="shared" si="2"/>
        <v>Passa</v>
      </c>
      <c r="Q197" s="38">
        <f>IF(AND(O197="Negada",P197="Negada"),0,IF(A197="Ativo",M197*0.08,0))</f>
        <v>5400</v>
      </c>
    </row>
    <row r="198" spans="1:17" ht="15.75" customHeight="1">
      <c r="A198" s="35" t="s">
        <v>77</v>
      </c>
      <c r="B198" s="35" t="s">
        <v>487</v>
      </c>
      <c r="C198" s="35" t="s">
        <v>488</v>
      </c>
      <c r="D198" s="35" t="str">
        <f t="shared" si="6"/>
        <v>000.000.031-00</v>
      </c>
      <c r="E198" s="36">
        <v>37530</v>
      </c>
      <c r="F198" s="37">
        <v>23</v>
      </c>
      <c r="G198" s="35" t="s">
        <v>92</v>
      </c>
      <c r="H198" s="35" t="s">
        <v>93</v>
      </c>
      <c r="I198" s="38">
        <v>10700</v>
      </c>
      <c r="J198" s="38">
        <v>15000</v>
      </c>
      <c r="K198" s="35" t="s">
        <v>49</v>
      </c>
      <c r="L198" s="37">
        <v>42</v>
      </c>
      <c r="M198" s="38">
        <v>81500</v>
      </c>
      <c r="N198" s="35" t="str">
        <f t="shared" si="0"/>
        <v>Alto</v>
      </c>
      <c r="O198" s="35" t="str">
        <f t="shared" si="1"/>
        <v>Passa</v>
      </c>
      <c r="P198" s="35" t="str">
        <f t="shared" si="2"/>
        <v>Passa</v>
      </c>
      <c r="Q198" s="38">
        <f>IF(AND(O198="Negada",P198="Negada"),0,IF(A198="Ativo",M198*0.08,0))</f>
        <v>6520</v>
      </c>
    </row>
    <row r="199" spans="1:17" ht="15.75" customHeight="1">
      <c r="A199" s="35" t="s">
        <v>82</v>
      </c>
      <c r="B199" s="35" t="s">
        <v>489</v>
      </c>
      <c r="C199" s="35" t="s">
        <v>490</v>
      </c>
      <c r="D199" s="35" t="str">
        <f t="shared" si="6"/>
        <v>000.000.009-00</v>
      </c>
      <c r="E199" s="36">
        <v>24872</v>
      </c>
      <c r="F199" s="37">
        <v>58</v>
      </c>
      <c r="G199" s="35" t="s">
        <v>92</v>
      </c>
      <c r="H199" s="35" t="s">
        <v>93</v>
      </c>
      <c r="I199" s="38">
        <v>12500</v>
      </c>
      <c r="J199" s="38">
        <v>44500</v>
      </c>
      <c r="K199" s="35" t="s">
        <v>49</v>
      </c>
      <c r="L199" s="37">
        <v>13</v>
      </c>
      <c r="M199" s="38">
        <v>16000</v>
      </c>
      <c r="N199" s="35" t="str">
        <f t="shared" si="0"/>
        <v>Médio</v>
      </c>
      <c r="O199" s="35" t="str">
        <f t="shared" si="1"/>
        <v>Passa</v>
      </c>
      <c r="P199" s="35" t="str">
        <f t="shared" si="2"/>
        <v>Passa</v>
      </c>
      <c r="Q199" s="38">
        <f>IF(AND(O199="Negada",P199="Negada"),0,IF(A199="Ativo",M199*0.08,0))</f>
        <v>0</v>
      </c>
    </row>
    <row r="200" spans="1:17" ht="15.75" customHeight="1">
      <c r="A200" s="35" t="s">
        <v>77</v>
      </c>
      <c r="B200" s="35" t="s">
        <v>491</v>
      </c>
      <c r="C200" s="35"/>
      <c r="D200" s="35" t="str">
        <f t="shared" si="6"/>
        <v>000.000.000-00</v>
      </c>
      <c r="E200" s="36"/>
      <c r="F200" s="37">
        <v>24</v>
      </c>
      <c r="G200" s="35" t="s">
        <v>88</v>
      </c>
      <c r="H200" s="35" t="s">
        <v>89</v>
      </c>
      <c r="I200" s="38">
        <v>17000</v>
      </c>
      <c r="J200" s="38">
        <v>41000</v>
      </c>
      <c r="K200" s="35" t="s">
        <v>49</v>
      </c>
      <c r="L200" s="37">
        <v>37</v>
      </c>
      <c r="M200" s="38">
        <v>33000</v>
      </c>
      <c r="N200" s="35" t="str">
        <f t="shared" si="0"/>
        <v>Alto</v>
      </c>
      <c r="O200" s="35" t="str">
        <f t="shared" si="1"/>
        <v>Passa</v>
      </c>
      <c r="P200" s="35" t="str">
        <f t="shared" si="2"/>
        <v>Passa</v>
      </c>
      <c r="Q200" s="38">
        <f>IF(AND(O200="Negada",P200="Negada"),0,IF(A200="Ativo",M200*0.08,0))</f>
        <v>2640</v>
      </c>
    </row>
    <row r="201" spans="1:17" ht="15.75" customHeight="1">
      <c r="A201" s="35" t="s">
        <v>77</v>
      </c>
      <c r="B201" s="35" t="s">
        <v>492</v>
      </c>
      <c r="C201" s="35" t="s">
        <v>493</v>
      </c>
      <c r="D201" s="35" t="str">
        <f t="shared" si="6"/>
        <v>000.000.077-00</v>
      </c>
      <c r="E201" s="36">
        <v>31337</v>
      </c>
      <c r="F201" s="37">
        <v>40</v>
      </c>
      <c r="G201" s="35" t="s">
        <v>151</v>
      </c>
      <c r="H201" s="35" t="s">
        <v>124</v>
      </c>
      <c r="I201" s="38">
        <v>14000</v>
      </c>
      <c r="J201" s="38">
        <v>0</v>
      </c>
      <c r="K201" s="35" t="s">
        <v>49</v>
      </c>
      <c r="L201" s="37">
        <v>24</v>
      </c>
      <c r="M201" s="38">
        <v>82000</v>
      </c>
      <c r="N201" s="35" t="str">
        <f t="shared" si="0"/>
        <v>Médio</v>
      </c>
      <c r="O201" s="35" t="str">
        <f t="shared" si="1"/>
        <v>Passa</v>
      </c>
      <c r="P201" s="35" t="str">
        <f t="shared" si="2"/>
        <v>Passa</v>
      </c>
      <c r="Q201" s="38">
        <f>IF(AND(O201="Negada",P201="Negada"),0,IF(A201="Ativo",M201*0.08,0))</f>
        <v>6560</v>
      </c>
    </row>
    <row r="202" spans="1:17" ht="15.75" customHeight="1">
      <c r="A202" s="35" t="s">
        <v>77</v>
      </c>
      <c r="B202" s="35" t="s">
        <v>117</v>
      </c>
      <c r="C202" s="35" t="s">
        <v>494</v>
      </c>
      <c r="D202" s="35" t="str">
        <f t="shared" si="6"/>
        <v>000.000.006-00</v>
      </c>
      <c r="E202" s="36">
        <v>24710</v>
      </c>
      <c r="F202" s="37">
        <v>59</v>
      </c>
      <c r="G202" s="35" t="s">
        <v>123</v>
      </c>
      <c r="H202" s="35" t="s">
        <v>124</v>
      </c>
      <c r="I202" s="38">
        <v>19900</v>
      </c>
      <c r="J202" s="38">
        <v>55000</v>
      </c>
      <c r="K202" s="35" t="s">
        <v>49</v>
      </c>
      <c r="L202" s="37">
        <v>26</v>
      </c>
      <c r="M202" s="38">
        <v>100000</v>
      </c>
      <c r="N202" s="35" t="str">
        <f t="shared" si="0"/>
        <v>Alto</v>
      </c>
      <c r="O202" s="35" t="str">
        <f t="shared" si="1"/>
        <v>Passa</v>
      </c>
      <c r="P202" s="35" t="str">
        <f t="shared" si="2"/>
        <v>Passa</v>
      </c>
      <c r="Q202" s="38">
        <f>IF(AND(O202="Negada",P202="Negada"),0,IF(A202="Ativo",M202*0.08,0))</f>
        <v>8000</v>
      </c>
    </row>
    <row r="203" spans="1:17" ht="15.75" customHeight="1">
      <c r="A203" s="35" t="s">
        <v>82</v>
      </c>
      <c r="B203" s="35" t="s">
        <v>495</v>
      </c>
      <c r="C203" s="35" t="s">
        <v>496</v>
      </c>
      <c r="D203" s="35" t="str">
        <f t="shared" si="6"/>
        <v>000.000.289-00</v>
      </c>
      <c r="E203" s="36">
        <v>19073</v>
      </c>
      <c r="F203" s="37">
        <v>74</v>
      </c>
      <c r="G203" s="35" t="s">
        <v>98</v>
      </c>
      <c r="H203" s="35" t="s">
        <v>99</v>
      </c>
      <c r="I203" s="38">
        <v>7100</v>
      </c>
      <c r="J203" s="38">
        <v>61500</v>
      </c>
      <c r="K203" s="35" t="s">
        <v>49</v>
      </c>
      <c r="L203" s="37">
        <v>1</v>
      </c>
      <c r="M203" s="38">
        <v>50500</v>
      </c>
      <c r="N203" s="35" t="str">
        <f t="shared" si="0"/>
        <v>Baixo</v>
      </c>
      <c r="O203" s="35" t="str">
        <f t="shared" si="1"/>
        <v>Passa</v>
      </c>
      <c r="P203" s="35" t="str">
        <f t="shared" si="2"/>
        <v>Passa</v>
      </c>
      <c r="Q203" s="38">
        <f>IF(AND(O203="Negada",P203="Negada"),0,IF(A203="Ativo",M203*0.08,0))</f>
        <v>0</v>
      </c>
    </row>
    <row r="204" spans="1:17" ht="15.75" customHeight="1">
      <c r="A204" s="35" t="s">
        <v>77</v>
      </c>
      <c r="B204" s="35" t="s">
        <v>497</v>
      </c>
      <c r="C204" s="35" t="s">
        <v>498</v>
      </c>
      <c r="D204" s="35" t="str">
        <f t="shared" si="6"/>
        <v>000.000.316-00</v>
      </c>
      <c r="E204" s="36">
        <v>22886</v>
      </c>
      <c r="F204" s="37">
        <v>64</v>
      </c>
      <c r="G204" s="35" t="s">
        <v>92</v>
      </c>
      <c r="H204" s="35" t="s">
        <v>93</v>
      </c>
      <c r="I204" s="38">
        <v>8800</v>
      </c>
      <c r="J204" s="38">
        <v>66000</v>
      </c>
      <c r="K204" s="35" t="s">
        <v>49</v>
      </c>
      <c r="L204" s="37">
        <v>28</v>
      </c>
      <c r="M204" s="38">
        <v>5000</v>
      </c>
      <c r="N204" s="35" t="str">
        <f t="shared" si="0"/>
        <v>Alto</v>
      </c>
      <c r="O204" s="35" t="str">
        <f t="shared" si="1"/>
        <v>Passa</v>
      </c>
      <c r="P204" s="35" t="str">
        <f t="shared" si="2"/>
        <v>Passa</v>
      </c>
      <c r="Q204" s="38">
        <f>IF(AND(O204="Negada",P204="Negada"),0,IF(A204="Ativo",M204*0.08,0))</f>
        <v>400</v>
      </c>
    </row>
    <row r="205" spans="1:17" ht="15.75" customHeight="1">
      <c r="A205" s="35" t="s">
        <v>82</v>
      </c>
      <c r="B205" s="35" t="s">
        <v>489</v>
      </c>
      <c r="C205" s="35" t="s">
        <v>490</v>
      </c>
      <c r="D205" s="35" t="str">
        <f t="shared" si="6"/>
        <v>000.000.009-00</v>
      </c>
      <c r="E205" s="36">
        <v>24872</v>
      </c>
      <c r="F205" s="37">
        <v>58</v>
      </c>
      <c r="G205" s="35" t="s">
        <v>92</v>
      </c>
      <c r="H205" s="35" t="s">
        <v>93</v>
      </c>
      <c r="I205" s="38">
        <v>12500</v>
      </c>
      <c r="J205" s="38">
        <v>44500</v>
      </c>
      <c r="K205" s="35" t="s">
        <v>49</v>
      </c>
      <c r="L205" s="37">
        <v>13</v>
      </c>
      <c r="M205" s="38">
        <v>98500</v>
      </c>
      <c r="N205" s="35" t="str">
        <f t="shared" si="0"/>
        <v>Médio</v>
      </c>
      <c r="O205" s="35" t="str">
        <f t="shared" si="1"/>
        <v>Passa</v>
      </c>
      <c r="P205" s="35" t="str">
        <f t="shared" si="2"/>
        <v>Passa</v>
      </c>
      <c r="Q205" s="38">
        <f>IF(AND(O205="Negada",P205="Negada"),0,IF(A205="Ativo",M205*0.08,0))</f>
        <v>0</v>
      </c>
    </row>
    <row r="206" spans="1:17" ht="15.75" customHeight="1">
      <c r="A206" s="35" t="s">
        <v>77</v>
      </c>
      <c r="B206" s="35" t="s">
        <v>499</v>
      </c>
      <c r="C206" s="35" t="s">
        <v>500</v>
      </c>
      <c r="D206" s="35" t="str">
        <f t="shared" si="6"/>
        <v>000.000.233-00</v>
      </c>
      <c r="E206" s="36">
        <v>32066</v>
      </c>
      <c r="F206" s="37">
        <v>38</v>
      </c>
      <c r="G206" s="35" t="s">
        <v>108</v>
      </c>
      <c r="H206" s="35" t="s">
        <v>109</v>
      </c>
      <c r="I206" s="38">
        <v>9700</v>
      </c>
      <c r="J206" s="38">
        <v>25000</v>
      </c>
      <c r="K206" s="35" t="s">
        <v>49</v>
      </c>
      <c r="L206" s="37">
        <v>0</v>
      </c>
      <c r="M206" s="38">
        <v>55500</v>
      </c>
      <c r="N206" s="35" t="str">
        <f t="shared" si="0"/>
        <v>Baixo</v>
      </c>
      <c r="O206" s="35" t="str">
        <f t="shared" si="1"/>
        <v>Passa</v>
      </c>
      <c r="P206" s="35" t="str">
        <f t="shared" si="2"/>
        <v>Passa</v>
      </c>
      <c r="Q206" s="38">
        <f>IF(AND(O206="Negada",P206="Negada"),0,IF(A206="Ativo",M206*0.08,0))</f>
        <v>4440</v>
      </c>
    </row>
    <row r="207" spans="1:17" ht="15.75" customHeight="1">
      <c r="A207" s="35" t="s">
        <v>77</v>
      </c>
      <c r="B207" s="35" t="s">
        <v>501</v>
      </c>
      <c r="C207" s="35" t="s">
        <v>502</v>
      </c>
      <c r="D207" s="35" t="str">
        <f t="shared" si="6"/>
        <v>000.000.096-00</v>
      </c>
      <c r="E207" s="36">
        <v>28330</v>
      </c>
      <c r="F207" s="37">
        <v>49</v>
      </c>
      <c r="G207" s="35" t="s">
        <v>114</v>
      </c>
      <c r="H207" s="35" t="s">
        <v>109</v>
      </c>
      <c r="I207" s="38">
        <v>11500</v>
      </c>
      <c r="J207" s="38">
        <v>44500</v>
      </c>
      <c r="K207" s="35" t="s">
        <v>49</v>
      </c>
      <c r="L207" s="37">
        <v>45</v>
      </c>
      <c r="M207" s="38">
        <v>3000</v>
      </c>
      <c r="N207" s="35" t="str">
        <f t="shared" si="0"/>
        <v>Alto</v>
      </c>
      <c r="O207" s="35" t="str">
        <f t="shared" si="1"/>
        <v>Passa</v>
      </c>
      <c r="P207" s="35" t="str">
        <f t="shared" si="2"/>
        <v>Passa</v>
      </c>
      <c r="Q207" s="38">
        <f>IF(AND(O207="Negada",P207="Negada"),0,IF(A207="Ativo",M207*0.08,0))</f>
        <v>240</v>
      </c>
    </row>
    <row r="208" spans="1:17" ht="15.75" customHeight="1">
      <c r="A208" s="35" t="s">
        <v>77</v>
      </c>
      <c r="B208" s="35" t="s">
        <v>503</v>
      </c>
      <c r="C208" s="35" t="s">
        <v>504</v>
      </c>
      <c r="D208" s="35" t="str">
        <f t="shared" si="6"/>
        <v>000.000.190-00</v>
      </c>
      <c r="E208" s="36">
        <v>30724</v>
      </c>
      <c r="F208" s="37">
        <v>42</v>
      </c>
      <c r="G208" s="35" t="s">
        <v>139</v>
      </c>
      <c r="H208" s="35" t="s">
        <v>128</v>
      </c>
      <c r="I208" s="38">
        <v>18500</v>
      </c>
      <c r="J208" s="38">
        <v>59000</v>
      </c>
      <c r="K208" s="35" t="s">
        <v>49</v>
      </c>
      <c r="L208" s="37">
        <v>44</v>
      </c>
      <c r="M208" s="38">
        <v>16500</v>
      </c>
      <c r="N208" s="35" t="str">
        <f t="shared" si="0"/>
        <v>Alto</v>
      </c>
      <c r="O208" s="35" t="str">
        <f t="shared" si="1"/>
        <v>Passa</v>
      </c>
      <c r="P208" s="35" t="str">
        <f t="shared" si="2"/>
        <v>Passa</v>
      </c>
      <c r="Q208" s="38">
        <f>IF(AND(O208="Negada",P208="Negada"),0,IF(A208="Ativo",M208*0.08,0))</f>
        <v>1320</v>
      </c>
    </row>
    <row r="209" spans="1:17" ht="15.75" customHeight="1">
      <c r="A209" s="35" t="s">
        <v>77</v>
      </c>
      <c r="B209" s="35" t="s">
        <v>505</v>
      </c>
      <c r="C209" s="35" t="s">
        <v>506</v>
      </c>
      <c r="D209" s="35" t="str">
        <f t="shared" si="6"/>
        <v>000.000.304-00</v>
      </c>
      <c r="E209" s="36">
        <v>39338</v>
      </c>
      <c r="F209" s="37">
        <v>18</v>
      </c>
      <c r="G209" s="35" t="s">
        <v>146</v>
      </c>
      <c r="H209" s="35" t="s">
        <v>128</v>
      </c>
      <c r="I209" s="38">
        <v>14100</v>
      </c>
      <c r="J209" s="38">
        <v>38500</v>
      </c>
      <c r="K209" s="35" t="s">
        <v>49</v>
      </c>
      <c r="L209" s="37">
        <v>7</v>
      </c>
      <c r="M209" s="38">
        <v>11000</v>
      </c>
      <c r="N209" s="35" t="str">
        <f t="shared" si="0"/>
        <v>Baixo</v>
      </c>
      <c r="O209" s="35" t="str">
        <f t="shared" si="1"/>
        <v>Passa</v>
      </c>
      <c r="P209" s="35" t="str">
        <f t="shared" si="2"/>
        <v>Passa</v>
      </c>
      <c r="Q209" s="38">
        <f>IF(AND(O209="Negada",P209="Negada"),0,IF(A209="Ativo",M209*0.08,0))</f>
        <v>880</v>
      </c>
    </row>
    <row r="210" spans="1:17" ht="15.75" customHeight="1">
      <c r="A210" s="35" t="s">
        <v>77</v>
      </c>
      <c r="B210" s="35" t="s">
        <v>507</v>
      </c>
      <c r="C210" s="35" t="s">
        <v>508</v>
      </c>
      <c r="D210" s="35" t="str">
        <f t="shared" si="6"/>
        <v>000.000.049-00</v>
      </c>
      <c r="E210" s="36">
        <v>39369</v>
      </c>
      <c r="F210" s="37">
        <v>18</v>
      </c>
      <c r="G210" s="35" t="s">
        <v>108</v>
      </c>
      <c r="H210" s="35" t="s">
        <v>109</v>
      </c>
      <c r="I210" s="38">
        <v>18500</v>
      </c>
      <c r="J210" s="38">
        <v>74500</v>
      </c>
      <c r="K210" s="35" t="s">
        <v>50</v>
      </c>
      <c r="L210" s="37">
        <v>20</v>
      </c>
      <c r="M210" s="38">
        <v>45500</v>
      </c>
      <c r="N210" s="35" t="str">
        <f t="shared" si="0"/>
        <v>Médio</v>
      </c>
      <c r="O210" s="35" t="str">
        <f t="shared" si="1"/>
        <v>Passa</v>
      </c>
      <c r="P210" s="35" t="str">
        <f t="shared" si="2"/>
        <v>Negada</v>
      </c>
      <c r="Q210" s="38">
        <f>IF(AND(O210="Negada",P210="Negada"),0,IF(A210="Ativo",M210*0.08,0))</f>
        <v>3640</v>
      </c>
    </row>
    <row r="211" spans="1:17" ht="15.75" customHeight="1">
      <c r="A211" s="35" t="s">
        <v>82</v>
      </c>
      <c r="B211" s="35" t="s">
        <v>509</v>
      </c>
      <c r="C211" s="35" t="s">
        <v>510</v>
      </c>
      <c r="D211" s="35" t="str">
        <f t="shared" si="6"/>
        <v>000.000.332-00</v>
      </c>
      <c r="E211" s="36">
        <v>22039</v>
      </c>
      <c r="F211" s="37">
        <v>66</v>
      </c>
      <c r="G211" s="35" t="s">
        <v>165</v>
      </c>
      <c r="H211" s="35" t="s">
        <v>165</v>
      </c>
      <c r="I211" s="38">
        <v>14300</v>
      </c>
      <c r="J211" s="38">
        <v>78000</v>
      </c>
      <c r="K211" s="35" t="s">
        <v>49</v>
      </c>
      <c r="L211" s="37">
        <v>28</v>
      </c>
      <c r="M211" s="38">
        <v>74500</v>
      </c>
      <c r="N211" s="35" t="str">
        <f t="shared" si="0"/>
        <v>Alto</v>
      </c>
      <c r="O211" s="35" t="str">
        <f t="shared" si="1"/>
        <v>Passa</v>
      </c>
      <c r="P211" s="35" t="str">
        <f t="shared" si="2"/>
        <v>Passa</v>
      </c>
      <c r="Q211" s="38">
        <f>IF(AND(O211="Negada",P211="Negada"),0,IF(A211="Ativo",M211*0.08,0))</f>
        <v>0</v>
      </c>
    </row>
    <row r="212" spans="1:17" ht="15.75" customHeight="1">
      <c r="A212" s="35" t="s">
        <v>77</v>
      </c>
      <c r="B212" s="35" t="s">
        <v>511</v>
      </c>
      <c r="C212" s="35" t="s">
        <v>512</v>
      </c>
      <c r="D212" s="35" t="str">
        <f t="shared" si="6"/>
        <v>000.000.056-00</v>
      </c>
      <c r="E212" s="36">
        <v>33336</v>
      </c>
      <c r="F212" s="37">
        <v>35</v>
      </c>
      <c r="G212" s="35" t="s">
        <v>80</v>
      </c>
      <c r="H212" s="35" t="s">
        <v>81</v>
      </c>
      <c r="I212" s="38">
        <v>20900</v>
      </c>
      <c r="J212" s="38">
        <v>54000</v>
      </c>
      <c r="K212" s="35" t="s">
        <v>49</v>
      </c>
      <c r="L212" s="37">
        <v>44</v>
      </c>
      <c r="M212" s="38">
        <v>18000</v>
      </c>
      <c r="N212" s="35" t="str">
        <f t="shared" si="0"/>
        <v>Alto</v>
      </c>
      <c r="O212" s="35" t="str">
        <f t="shared" si="1"/>
        <v>Passa</v>
      </c>
      <c r="P212" s="35" t="str">
        <f t="shared" si="2"/>
        <v>Passa</v>
      </c>
      <c r="Q212" s="38">
        <f>IF(AND(O212="Negada",P212="Negada"),0,IF(A212="Ativo",M212*0.08,0))</f>
        <v>1440</v>
      </c>
    </row>
    <row r="213" spans="1:17" ht="15.75" customHeight="1">
      <c r="A213" s="35" t="s">
        <v>77</v>
      </c>
      <c r="B213" s="35" t="s">
        <v>513</v>
      </c>
      <c r="C213" s="35" t="s">
        <v>514</v>
      </c>
      <c r="D213" s="35" t="str">
        <f t="shared" si="6"/>
        <v>000.000.278-00</v>
      </c>
      <c r="E213" s="36">
        <v>32152</v>
      </c>
      <c r="F213" s="37">
        <v>38</v>
      </c>
      <c r="G213" s="35" t="s">
        <v>190</v>
      </c>
      <c r="H213" s="35" t="s">
        <v>134</v>
      </c>
      <c r="I213" s="38">
        <v>2000</v>
      </c>
      <c r="J213" s="38">
        <v>60000</v>
      </c>
      <c r="K213" s="35" t="s">
        <v>49</v>
      </c>
      <c r="L213" s="37">
        <v>18</v>
      </c>
      <c r="M213" s="38">
        <v>54000</v>
      </c>
      <c r="N213" s="35" t="str">
        <f t="shared" si="0"/>
        <v>Médio</v>
      </c>
      <c r="O213" s="35" t="str">
        <f t="shared" si="1"/>
        <v>Passa</v>
      </c>
      <c r="P213" s="35" t="str">
        <f t="shared" si="2"/>
        <v>Passa</v>
      </c>
      <c r="Q213" s="38">
        <f>IF(AND(O213="Negada",P213="Negada"),0,IF(A213="Ativo",M213*0.08,0))</f>
        <v>4320</v>
      </c>
    </row>
    <row r="214" spans="1:17" ht="15.75" customHeight="1">
      <c r="A214" s="35" t="s">
        <v>82</v>
      </c>
      <c r="B214" s="35" t="s">
        <v>229</v>
      </c>
      <c r="C214" s="35" t="s">
        <v>230</v>
      </c>
      <c r="D214" s="35" t="str">
        <f t="shared" si="6"/>
        <v>000.000.014-00</v>
      </c>
      <c r="E214" s="36">
        <v>29113</v>
      </c>
      <c r="F214" s="37">
        <v>46</v>
      </c>
      <c r="G214" s="35" t="s">
        <v>146</v>
      </c>
      <c r="H214" s="35" t="s">
        <v>128</v>
      </c>
      <c r="I214" s="38">
        <v>15000</v>
      </c>
      <c r="J214" s="38">
        <v>32500</v>
      </c>
      <c r="K214" s="35" t="s">
        <v>49</v>
      </c>
      <c r="L214" s="37">
        <v>40</v>
      </c>
      <c r="M214" s="38">
        <v>90500</v>
      </c>
      <c r="N214" s="35" t="str">
        <f t="shared" si="0"/>
        <v>Alto</v>
      </c>
      <c r="O214" s="35" t="str">
        <f t="shared" si="1"/>
        <v>Passa</v>
      </c>
      <c r="P214" s="35" t="str">
        <f t="shared" si="2"/>
        <v>Passa</v>
      </c>
      <c r="Q214" s="38">
        <f>IF(AND(O214="Negada",P214="Negada"),0,IF(A214="Ativo",M214*0.08,0))</f>
        <v>0</v>
      </c>
    </row>
    <row r="215" spans="1:17" ht="15.75" customHeight="1">
      <c r="A215" s="35" t="s">
        <v>77</v>
      </c>
      <c r="B215" s="35" t="s">
        <v>515</v>
      </c>
      <c r="C215" s="35" t="s">
        <v>516</v>
      </c>
      <c r="D215" s="35" t="str">
        <f t="shared" si="6"/>
        <v>000.000.025-00</v>
      </c>
      <c r="E215" s="36">
        <v>19800</v>
      </c>
      <c r="F215" s="37">
        <v>72</v>
      </c>
      <c r="G215" s="35" t="s">
        <v>123</v>
      </c>
      <c r="H215" s="35" t="s">
        <v>124</v>
      </c>
      <c r="I215" s="38">
        <v>24300</v>
      </c>
      <c r="J215" s="38">
        <v>13500</v>
      </c>
      <c r="K215" s="35" t="s">
        <v>49</v>
      </c>
      <c r="L215" s="37">
        <v>33</v>
      </c>
      <c r="M215" s="38">
        <v>14500</v>
      </c>
      <c r="N215" s="35" t="str">
        <f t="shared" si="0"/>
        <v>Alto</v>
      </c>
      <c r="O215" s="35" t="str">
        <f t="shared" si="1"/>
        <v>Passa</v>
      </c>
      <c r="P215" s="35" t="str">
        <f t="shared" si="2"/>
        <v>Passa</v>
      </c>
      <c r="Q215" s="38">
        <f>IF(AND(O215="Negada",P215="Negada"),0,IF(A215="Ativo",M215*0.08,0))</f>
        <v>1160</v>
      </c>
    </row>
    <row r="216" spans="1:17" ht="15.75" customHeight="1">
      <c r="A216" s="35" t="s">
        <v>77</v>
      </c>
      <c r="B216" s="35" t="s">
        <v>517</v>
      </c>
      <c r="C216" s="35" t="s">
        <v>518</v>
      </c>
      <c r="D216" s="35" t="str">
        <f t="shared" si="6"/>
        <v>000.000.041-00</v>
      </c>
      <c r="E216" s="36"/>
      <c r="F216" s="37">
        <v>69</v>
      </c>
      <c r="G216" s="35" t="s">
        <v>114</v>
      </c>
      <c r="H216" s="35" t="s">
        <v>109</v>
      </c>
      <c r="I216" s="38">
        <v>4500</v>
      </c>
      <c r="J216" s="38">
        <v>0</v>
      </c>
      <c r="K216" s="35" t="s">
        <v>50</v>
      </c>
      <c r="L216" s="37">
        <v>32</v>
      </c>
      <c r="M216" s="38">
        <v>56500</v>
      </c>
      <c r="N216" s="35" t="str">
        <f t="shared" si="0"/>
        <v>Alto</v>
      </c>
      <c r="O216" s="35" t="str">
        <f t="shared" si="1"/>
        <v>Negada</v>
      </c>
      <c r="P216" s="35" t="str">
        <f t="shared" si="2"/>
        <v>Passa</v>
      </c>
      <c r="Q216" s="38">
        <f>IF(AND(O216="Negada",P216="Negada"),0,IF(A216="Ativo",M216*0.08,0))</f>
        <v>4520</v>
      </c>
    </row>
    <row r="217" spans="1:17" ht="15.75" customHeight="1">
      <c r="A217" s="35" t="s">
        <v>77</v>
      </c>
      <c r="B217" s="35" t="s">
        <v>519</v>
      </c>
      <c r="C217" s="35" t="s">
        <v>520</v>
      </c>
      <c r="D217" s="35" t="str">
        <f t="shared" si="6"/>
        <v>000.000.146-00</v>
      </c>
      <c r="E217" s="36">
        <v>38079</v>
      </c>
      <c r="F217" s="37">
        <v>22</v>
      </c>
      <c r="G217" s="35" t="s">
        <v>84</v>
      </c>
      <c r="H217" s="35" t="s">
        <v>85</v>
      </c>
      <c r="I217" s="38">
        <v>9200</v>
      </c>
      <c r="J217" s="38">
        <v>5000</v>
      </c>
      <c r="K217" s="35" t="s">
        <v>49</v>
      </c>
      <c r="L217" s="37">
        <v>42</v>
      </c>
      <c r="M217" s="38">
        <v>63500</v>
      </c>
      <c r="N217" s="35" t="str">
        <f t="shared" si="0"/>
        <v>Alto</v>
      </c>
      <c r="O217" s="35" t="str">
        <f t="shared" si="1"/>
        <v>Passa</v>
      </c>
      <c r="P217" s="35" t="str">
        <f t="shared" si="2"/>
        <v>Passa</v>
      </c>
      <c r="Q217" s="38">
        <f>IF(AND(O217="Negada",P217="Negada"),0,IF(A217="Ativo",M217*0.08,0))</f>
        <v>5080</v>
      </c>
    </row>
    <row r="218" spans="1:17" ht="15.75" customHeight="1">
      <c r="A218" s="35" t="s">
        <v>77</v>
      </c>
      <c r="B218" s="35" t="s">
        <v>521</v>
      </c>
      <c r="C218" s="35" t="s">
        <v>522</v>
      </c>
      <c r="D218" s="35" t="str">
        <f t="shared" si="6"/>
        <v>000.000.187-00</v>
      </c>
      <c r="E218" s="36">
        <v>31972</v>
      </c>
      <c r="F218" s="37">
        <v>39</v>
      </c>
      <c r="G218" s="35" t="s">
        <v>123</v>
      </c>
      <c r="H218" s="35" t="s">
        <v>124</v>
      </c>
      <c r="I218" s="38">
        <v>8700</v>
      </c>
      <c r="J218" s="38">
        <v>4500</v>
      </c>
      <c r="K218" s="35" t="s">
        <v>49</v>
      </c>
      <c r="L218" s="37">
        <v>16</v>
      </c>
      <c r="M218" s="38">
        <v>93500</v>
      </c>
      <c r="N218" s="35" t="str">
        <f t="shared" si="0"/>
        <v>Médio</v>
      </c>
      <c r="O218" s="35" t="str">
        <f t="shared" si="1"/>
        <v>Passa</v>
      </c>
      <c r="P218" s="35" t="str">
        <f t="shared" si="2"/>
        <v>Passa</v>
      </c>
      <c r="Q218" s="38">
        <f>IF(AND(O218="Negada",P218="Negada"),0,IF(A218="Ativo",M218*0.08,0))</f>
        <v>7480</v>
      </c>
    </row>
    <row r="219" spans="1:17" ht="15.75" customHeight="1">
      <c r="A219" s="35" t="s">
        <v>77</v>
      </c>
      <c r="B219" s="35" t="s">
        <v>523</v>
      </c>
      <c r="C219" s="35" t="s">
        <v>524</v>
      </c>
      <c r="D219" s="35" t="str">
        <f t="shared" si="6"/>
        <v>000.000.098-00</v>
      </c>
      <c r="E219" s="36">
        <v>33440</v>
      </c>
      <c r="F219" s="37">
        <v>35</v>
      </c>
      <c r="G219" s="35" t="s">
        <v>92</v>
      </c>
      <c r="H219" s="35" t="s">
        <v>93</v>
      </c>
      <c r="I219" s="38">
        <v>2000</v>
      </c>
      <c r="J219" s="38">
        <v>5500</v>
      </c>
      <c r="K219" s="35" t="s">
        <v>49</v>
      </c>
      <c r="L219" s="37">
        <v>34</v>
      </c>
      <c r="M219" s="38">
        <v>71000</v>
      </c>
      <c r="N219" s="35" t="str">
        <f t="shared" si="0"/>
        <v>Alto</v>
      </c>
      <c r="O219" s="35" t="str">
        <f t="shared" si="1"/>
        <v>Passa</v>
      </c>
      <c r="P219" s="35" t="str">
        <f t="shared" si="2"/>
        <v>Passa</v>
      </c>
      <c r="Q219" s="38">
        <f>IF(AND(O219="Negada",P219="Negada"),0,IF(A219="Ativo",M219*0.08,0))</f>
        <v>5680</v>
      </c>
    </row>
    <row r="220" spans="1:17" ht="15.75" customHeight="1">
      <c r="A220" s="35" t="s">
        <v>77</v>
      </c>
      <c r="B220" s="35" t="s">
        <v>525</v>
      </c>
      <c r="C220" s="35" t="s">
        <v>526</v>
      </c>
      <c r="D220" s="35" t="str">
        <f t="shared" si="6"/>
        <v>000.000.114-00</v>
      </c>
      <c r="E220" s="36">
        <v>19623</v>
      </c>
      <c r="F220" s="37">
        <v>72</v>
      </c>
      <c r="G220" s="35" t="s">
        <v>98</v>
      </c>
      <c r="H220" s="35" t="s">
        <v>99</v>
      </c>
      <c r="I220" s="38">
        <v>12600</v>
      </c>
      <c r="J220" s="38">
        <v>5500</v>
      </c>
      <c r="K220" s="35" t="s">
        <v>49</v>
      </c>
      <c r="L220" s="37">
        <v>35</v>
      </c>
      <c r="M220" s="38">
        <v>21000</v>
      </c>
      <c r="N220" s="35" t="str">
        <f t="shared" si="0"/>
        <v>Alto</v>
      </c>
      <c r="O220" s="35" t="str">
        <f t="shared" si="1"/>
        <v>Passa</v>
      </c>
      <c r="P220" s="35" t="str">
        <f t="shared" si="2"/>
        <v>Passa</v>
      </c>
      <c r="Q220" s="38">
        <f>IF(AND(O220="Negada",P220="Negada"),0,IF(A220="Ativo",M220*0.08,0))</f>
        <v>1680</v>
      </c>
    </row>
    <row r="221" spans="1:17" ht="15.75" customHeight="1">
      <c r="A221" s="35" t="s">
        <v>77</v>
      </c>
      <c r="B221" s="35" t="s">
        <v>527</v>
      </c>
      <c r="C221" s="35" t="s">
        <v>528</v>
      </c>
      <c r="D221" s="35" t="str">
        <f t="shared" si="6"/>
        <v>000.000.303-00</v>
      </c>
      <c r="E221" s="36"/>
      <c r="F221" s="37">
        <v>24</v>
      </c>
      <c r="G221" s="35" t="s">
        <v>127</v>
      </c>
      <c r="H221" s="35" t="s">
        <v>128</v>
      </c>
      <c r="I221" s="38">
        <v>29300</v>
      </c>
      <c r="J221" s="38">
        <v>32000</v>
      </c>
      <c r="K221" s="35" t="s">
        <v>50</v>
      </c>
      <c r="L221" s="37">
        <v>26</v>
      </c>
      <c r="M221" s="38">
        <v>59000</v>
      </c>
      <c r="N221" s="35" t="str">
        <f t="shared" si="0"/>
        <v>Alto</v>
      </c>
      <c r="O221" s="35" t="str">
        <f t="shared" si="1"/>
        <v>Negada</v>
      </c>
      <c r="P221" s="35" t="str">
        <f t="shared" si="2"/>
        <v>Passa</v>
      </c>
      <c r="Q221" s="38">
        <f>IF(AND(O221="Negada",P221="Negada"),0,IF(A221="Ativo",M221*0.08,0))</f>
        <v>4720</v>
      </c>
    </row>
    <row r="222" spans="1:17" ht="15.75" customHeight="1">
      <c r="A222" s="35" t="s">
        <v>82</v>
      </c>
      <c r="B222" s="35" t="s">
        <v>529</v>
      </c>
      <c r="C222" s="35" t="s">
        <v>530</v>
      </c>
      <c r="D222" s="35" t="str">
        <f t="shared" si="6"/>
        <v>000.000.322-00</v>
      </c>
      <c r="E222" s="36">
        <v>36540</v>
      </c>
      <c r="F222" s="37">
        <v>26</v>
      </c>
      <c r="G222" s="35" t="s">
        <v>88</v>
      </c>
      <c r="H222" s="35" t="s">
        <v>89</v>
      </c>
      <c r="I222" s="38">
        <v>24000</v>
      </c>
      <c r="J222" s="38">
        <v>52000</v>
      </c>
      <c r="K222" s="35" t="s">
        <v>49</v>
      </c>
      <c r="L222" s="37">
        <v>30</v>
      </c>
      <c r="M222" s="38">
        <v>62500</v>
      </c>
      <c r="N222" s="35" t="str">
        <f t="shared" si="0"/>
        <v>Alto</v>
      </c>
      <c r="O222" s="35" t="str">
        <f t="shared" si="1"/>
        <v>Passa</v>
      </c>
      <c r="P222" s="35" t="str">
        <f t="shared" si="2"/>
        <v>Passa</v>
      </c>
      <c r="Q222" s="38">
        <f>IF(AND(O222="Negada",P222="Negada"),0,IF(A222="Ativo",M222*0.08,0))</f>
        <v>0</v>
      </c>
    </row>
    <row r="223" spans="1:17" ht="15.75" customHeight="1">
      <c r="A223" s="35" t="s">
        <v>77</v>
      </c>
      <c r="B223" s="35" t="s">
        <v>531</v>
      </c>
      <c r="C223" s="35" t="s">
        <v>532</v>
      </c>
      <c r="D223" s="35" t="str">
        <f t="shared" si="6"/>
        <v>000.000.335-00</v>
      </c>
      <c r="E223" s="36">
        <v>33309</v>
      </c>
      <c r="F223" s="37">
        <v>35</v>
      </c>
      <c r="G223" s="35" t="s">
        <v>123</v>
      </c>
      <c r="H223" s="35" t="s">
        <v>124</v>
      </c>
      <c r="I223" s="38">
        <v>28500</v>
      </c>
      <c r="J223" s="38">
        <v>48500</v>
      </c>
      <c r="K223" s="35" t="s">
        <v>49</v>
      </c>
      <c r="L223" s="37">
        <v>24</v>
      </c>
      <c r="M223" s="38">
        <v>80500</v>
      </c>
      <c r="N223" s="35" t="str">
        <f t="shared" si="0"/>
        <v>Médio</v>
      </c>
      <c r="O223" s="35" t="str">
        <f t="shared" si="1"/>
        <v>Passa</v>
      </c>
      <c r="P223" s="35" t="str">
        <f t="shared" si="2"/>
        <v>Passa</v>
      </c>
      <c r="Q223" s="38">
        <f>IF(AND(O223="Negada",P223="Negada"),0,IF(A223="Ativo",M223*0.08,0))</f>
        <v>6440</v>
      </c>
    </row>
    <row r="224" spans="1:17" ht="15.75" customHeight="1">
      <c r="A224" s="35" t="s">
        <v>77</v>
      </c>
      <c r="B224" s="35" t="s">
        <v>533</v>
      </c>
      <c r="C224" s="35" t="s">
        <v>534</v>
      </c>
      <c r="D224" s="35" t="str">
        <f t="shared" si="6"/>
        <v>000.000.003-00</v>
      </c>
      <c r="E224" s="36">
        <v>37785</v>
      </c>
      <c r="F224" s="37">
        <v>23</v>
      </c>
      <c r="G224" s="35" t="s">
        <v>197</v>
      </c>
      <c r="H224" s="35" t="s">
        <v>89</v>
      </c>
      <c r="I224" s="38">
        <v>17900</v>
      </c>
      <c r="J224" s="38">
        <v>28000</v>
      </c>
      <c r="K224" s="35" t="s">
        <v>49</v>
      </c>
      <c r="L224" s="37">
        <v>41</v>
      </c>
      <c r="M224" s="38">
        <v>52500</v>
      </c>
      <c r="N224" s="35" t="str">
        <f t="shared" si="0"/>
        <v>Alto</v>
      </c>
      <c r="O224" s="35" t="str">
        <f t="shared" si="1"/>
        <v>Passa</v>
      </c>
      <c r="P224" s="35" t="str">
        <f t="shared" si="2"/>
        <v>Passa</v>
      </c>
      <c r="Q224" s="38">
        <f>IF(AND(O224="Negada",P224="Negada"),0,IF(A224="Ativo",M224*0.08,0))</f>
        <v>4200</v>
      </c>
    </row>
    <row r="225" spans="1:17" ht="15.75" customHeight="1">
      <c r="A225" s="35" t="s">
        <v>82</v>
      </c>
      <c r="B225" s="35" t="s">
        <v>535</v>
      </c>
      <c r="C225" s="35" t="s">
        <v>536</v>
      </c>
      <c r="D225" s="35" t="str">
        <f t="shared" si="6"/>
        <v>000.000.235-00</v>
      </c>
      <c r="E225" s="36">
        <v>33902</v>
      </c>
      <c r="F225" s="37">
        <v>33</v>
      </c>
      <c r="G225" s="35" t="s">
        <v>156</v>
      </c>
      <c r="H225" s="35" t="s">
        <v>134</v>
      </c>
      <c r="I225" s="38">
        <v>12500</v>
      </c>
      <c r="J225" s="38">
        <v>51500</v>
      </c>
      <c r="K225" s="35" t="s">
        <v>50</v>
      </c>
      <c r="L225" s="37">
        <v>44</v>
      </c>
      <c r="M225" s="38">
        <v>24000</v>
      </c>
      <c r="N225" s="35" t="str">
        <f t="shared" si="0"/>
        <v>Alto</v>
      </c>
      <c r="O225" s="35" t="str">
        <f t="shared" si="1"/>
        <v>Negada</v>
      </c>
      <c r="P225" s="35" t="str">
        <f t="shared" si="2"/>
        <v>Negada</v>
      </c>
      <c r="Q225" s="38">
        <f>IF(AND(O225="Negada",P225="Negada"),0,IF(A225="Ativo",M225*0.08,0))</f>
        <v>0</v>
      </c>
    </row>
    <row r="226" spans="1:17" ht="15.75" customHeight="1">
      <c r="A226" s="35" t="s">
        <v>77</v>
      </c>
      <c r="B226" s="35" t="s">
        <v>525</v>
      </c>
      <c r="C226" s="35" t="s">
        <v>537</v>
      </c>
      <c r="D226" s="35" t="str">
        <f t="shared" si="6"/>
        <v>000.000.307-00</v>
      </c>
      <c r="E226" s="36">
        <v>22900</v>
      </c>
      <c r="F226" s="37">
        <v>63</v>
      </c>
      <c r="G226" s="35" t="s">
        <v>165</v>
      </c>
      <c r="H226" s="35" t="s">
        <v>165</v>
      </c>
      <c r="I226" s="38">
        <v>5500</v>
      </c>
      <c r="J226" s="38">
        <v>41000</v>
      </c>
      <c r="K226" s="35" t="s">
        <v>49</v>
      </c>
      <c r="L226" s="37">
        <v>2</v>
      </c>
      <c r="M226" s="38">
        <v>54500</v>
      </c>
      <c r="N226" s="35" t="str">
        <f t="shared" si="0"/>
        <v>Baixo</v>
      </c>
      <c r="O226" s="35" t="str">
        <f t="shared" si="1"/>
        <v>Passa</v>
      </c>
      <c r="P226" s="35" t="str">
        <f t="shared" si="2"/>
        <v>Passa</v>
      </c>
      <c r="Q226" s="38">
        <f>IF(AND(O226="Negada",P226="Negada"),0,IF(A226="Ativo",M226*0.08,0))</f>
        <v>4360</v>
      </c>
    </row>
    <row r="227" spans="1:17" ht="15.75" customHeight="1">
      <c r="A227" s="35" t="s">
        <v>82</v>
      </c>
      <c r="B227" s="35" t="s">
        <v>538</v>
      </c>
      <c r="C227" s="35" t="s">
        <v>539</v>
      </c>
      <c r="D227" s="35" t="str">
        <f t="shared" si="6"/>
        <v>000.000.260-00</v>
      </c>
      <c r="E227" s="36">
        <v>34885</v>
      </c>
      <c r="F227" s="37">
        <v>31</v>
      </c>
      <c r="G227" s="35" t="s">
        <v>88</v>
      </c>
      <c r="H227" s="35" t="s">
        <v>89</v>
      </c>
      <c r="I227" s="38">
        <v>16400</v>
      </c>
      <c r="J227" s="38">
        <v>45500</v>
      </c>
      <c r="K227" s="35" t="s">
        <v>49</v>
      </c>
      <c r="L227" s="37">
        <v>6</v>
      </c>
      <c r="M227" s="38">
        <v>49500</v>
      </c>
      <c r="N227" s="35" t="str">
        <f t="shared" si="0"/>
        <v>Baixo</v>
      </c>
      <c r="O227" s="35" t="str">
        <f t="shared" si="1"/>
        <v>Passa</v>
      </c>
      <c r="P227" s="35" t="str">
        <f t="shared" si="2"/>
        <v>Passa</v>
      </c>
      <c r="Q227" s="38">
        <f>IF(AND(O227="Negada",P227="Negada"),0,IF(A227="Ativo",M227*0.08,0))</f>
        <v>0</v>
      </c>
    </row>
    <row r="228" spans="1:17" ht="15.75" customHeight="1">
      <c r="A228" s="35" t="s">
        <v>77</v>
      </c>
      <c r="B228" s="35" t="s">
        <v>421</v>
      </c>
      <c r="C228" s="35" t="s">
        <v>540</v>
      </c>
      <c r="D228" s="35" t="str">
        <f t="shared" si="6"/>
        <v>000.000.008-00</v>
      </c>
      <c r="E228" s="36">
        <v>20000</v>
      </c>
      <c r="F228" s="37">
        <v>71</v>
      </c>
      <c r="G228" s="35" t="s">
        <v>215</v>
      </c>
      <c r="H228" s="35" t="s">
        <v>216</v>
      </c>
      <c r="I228" s="38">
        <v>15100</v>
      </c>
      <c r="J228" s="38"/>
      <c r="K228" s="35" t="s">
        <v>49</v>
      </c>
      <c r="L228" s="37">
        <v>42</v>
      </c>
      <c r="M228" s="38">
        <v>77000</v>
      </c>
      <c r="N228" s="35" t="str">
        <f t="shared" si="0"/>
        <v>Alto</v>
      </c>
      <c r="O228" s="35" t="str">
        <f t="shared" si="1"/>
        <v>Passa</v>
      </c>
      <c r="P228" s="35" t="str">
        <f t="shared" si="2"/>
        <v>Passa</v>
      </c>
      <c r="Q228" s="38">
        <f>IF(AND(O228="Negada",P228="Negada"),0,IF(A228="Ativo",M228*0.08,0))</f>
        <v>6160</v>
      </c>
    </row>
    <row r="229" spans="1:17" ht="15.75" customHeight="1">
      <c r="A229" s="35" t="s">
        <v>77</v>
      </c>
      <c r="B229" s="35" t="s">
        <v>541</v>
      </c>
      <c r="C229" s="35" t="s">
        <v>542</v>
      </c>
      <c r="D229" s="35" t="str">
        <f t="shared" si="6"/>
        <v>000.000.219-00</v>
      </c>
      <c r="E229" s="36">
        <v>21619</v>
      </c>
      <c r="F229" s="37">
        <v>67</v>
      </c>
      <c r="G229" s="35" t="s">
        <v>84</v>
      </c>
      <c r="H229" s="35" t="s">
        <v>85</v>
      </c>
      <c r="I229" s="38">
        <v>20200</v>
      </c>
      <c r="J229" s="38">
        <v>6500</v>
      </c>
      <c r="K229" s="35" t="s">
        <v>49</v>
      </c>
      <c r="L229" s="37">
        <v>1</v>
      </c>
      <c r="M229" s="38">
        <v>98500</v>
      </c>
      <c r="N229" s="35" t="str">
        <f t="shared" si="0"/>
        <v>Baixo</v>
      </c>
      <c r="O229" s="35" t="str">
        <f t="shared" si="1"/>
        <v>Passa</v>
      </c>
      <c r="P229" s="35" t="str">
        <f t="shared" si="2"/>
        <v>Passa</v>
      </c>
      <c r="Q229" s="38">
        <f>IF(AND(O229="Negada",P229="Negada"),0,IF(A229="Ativo",M229*0.08,0))</f>
        <v>7880</v>
      </c>
    </row>
    <row r="230" spans="1:17" ht="15.75" customHeight="1">
      <c r="A230" s="35" t="s">
        <v>77</v>
      </c>
      <c r="B230" s="35" t="s">
        <v>543</v>
      </c>
      <c r="C230" s="35" t="s">
        <v>544</v>
      </c>
      <c r="D230" s="35" t="str">
        <f t="shared" si="6"/>
        <v>000.000.001-00</v>
      </c>
      <c r="E230" s="36">
        <v>36288</v>
      </c>
      <c r="F230" s="37">
        <v>27</v>
      </c>
      <c r="G230" s="35" t="s">
        <v>153</v>
      </c>
      <c r="H230" s="35" t="s">
        <v>128</v>
      </c>
      <c r="I230" s="38">
        <v>29700</v>
      </c>
      <c r="J230" s="38">
        <v>12000</v>
      </c>
      <c r="K230" s="35" t="s">
        <v>49</v>
      </c>
      <c r="L230" s="37">
        <v>37</v>
      </c>
      <c r="M230" s="38">
        <v>49000</v>
      </c>
      <c r="N230" s="35" t="str">
        <f t="shared" si="0"/>
        <v>Alto</v>
      </c>
      <c r="O230" s="35" t="str">
        <f t="shared" si="1"/>
        <v>Passa</v>
      </c>
      <c r="P230" s="35" t="str">
        <f t="shared" si="2"/>
        <v>Passa</v>
      </c>
      <c r="Q230" s="38">
        <f>IF(AND(O230="Negada",P230="Negada"),0,IF(A230="Ativo",M230*0.08,0))</f>
        <v>3920</v>
      </c>
    </row>
    <row r="231" spans="1:17" ht="15.75" customHeight="1">
      <c r="A231" s="35" t="s">
        <v>77</v>
      </c>
      <c r="B231" s="35" t="s">
        <v>545</v>
      </c>
      <c r="C231" s="35" t="s">
        <v>546</v>
      </c>
      <c r="D231" s="35" t="str">
        <f t="shared" si="6"/>
        <v>000.000.227-00</v>
      </c>
      <c r="E231" s="36">
        <v>37056</v>
      </c>
      <c r="F231" s="37">
        <v>25</v>
      </c>
      <c r="G231" s="35" t="s">
        <v>146</v>
      </c>
      <c r="H231" s="35" t="s">
        <v>128</v>
      </c>
      <c r="I231" s="38">
        <v>25400</v>
      </c>
      <c r="J231" s="38">
        <v>4000</v>
      </c>
      <c r="K231" s="35" t="s">
        <v>49</v>
      </c>
      <c r="L231" s="37">
        <v>4</v>
      </c>
      <c r="M231" s="38">
        <v>8500</v>
      </c>
      <c r="N231" s="35" t="str">
        <f t="shared" si="0"/>
        <v>Baixo</v>
      </c>
      <c r="O231" s="35" t="str">
        <f t="shared" si="1"/>
        <v>Passa</v>
      </c>
      <c r="P231" s="35" t="str">
        <f t="shared" si="2"/>
        <v>Passa</v>
      </c>
      <c r="Q231" s="38">
        <f>IF(AND(O231="Negada",P231="Negada"),0,IF(A231="Ativo",M231*0.08,0))</f>
        <v>680</v>
      </c>
    </row>
    <row r="232" spans="1:17" ht="15.75" customHeight="1">
      <c r="A232" s="35" t="s">
        <v>77</v>
      </c>
      <c r="B232" s="35" t="s">
        <v>547</v>
      </c>
      <c r="C232" s="35" t="s">
        <v>548</v>
      </c>
      <c r="D232" s="35" t="str">
        <f t="shared" si="6"/>
        <v>000.000.266-00</v>
      </c>
      <c r="E232" s="36">
        <v>20533</v>
      </c>
      <c r="F232" s="37">
        <v>70</v>
      </c>
      <c r="G232" s="35" t="s">
        <v>215</v>
      </c>
      <c r="H232" s="35" t="s">
        <v>216</v>
      </c>
      <c r="I232" s="38">
        <v>9100</v>
      </c>
      <c r="J232" s="38">
        <v>40500</v>
      </c>
      <c r="K232" s="35" t="s">
        <v>49</v>
      </c>
      <c r="L232" s="37">
        <v>35</v>
      </c>
      <c r="M232" s="38">
        <v>53000</v>
      </c>
      <c r="N232" s="35" t="str">
        <f t="shared" si="0"/>
        <v>Alto</v>
      </c>
      <c r="O232" s="35" t="str">
        <f t="shared" si="1"/>
        <v>Passa</v>
      </c>
      <c r="P232" s="35" t="str">
        <f t="shared" si="2"/>
        <v>Passa</v>
      </c>
      <c r="Q232" s="38">
        <f>IF(AND(O232="Negada",P232="Negada"),0,IF(A232="Ativo",M232*0.08,0))</f>
        <v>4240</v>
      </c>
    </row>
    <row r="233" spans="1:17" ht="15.75" customHeight="1">
      <c r="A233" s="35" t="s">
        <v>82</v>
      </c>
      <c r="B233" s="35" t="s">
        <v>549</v>
      </c>
      <c r="C233" s="35" t="s">
        <v>550</v>
      </c>
      <c r="D233" s="35" t="str">
        <f t="shared" si="6"/>
        <v>000.000.158-00</v>
      </c>
      <c r="E233" s="36">
        <v>25324</v>
      </c>
      <c r="F233" s="37">
        <v>57</v>
      </c>
      <c r="G233" s="35" t="s">
        <v>139</v>
      </c>
      <c r="H233" s="35" t="s">
        <v>128</v>
      </c>
      <c r="I233" s="38">
        <v>9500</v>
      </c>
      <c r="J233" s="38">
        <v>58000</v>
      </c>
      <c r="K233" s="35" t="s">
        <v>49</v>
      </c>
      <c r="L233" s="37">
        <v>23</v>
      </c>
      <c r="M233" s="38">
        <v>81500</v>
      </c>
      <c r="N233" s="35" t="str">
        <f t="shared" si="0"/>
        <v>Médio</v>
      </c>
      <c r="O233" s="35" t="str">
        <f t="shared" si="1"/>
        <v>Passa</v>
      </c>
      <c r="P233" s="35" t="str">
        <f t="shared" si="2"/>
        <v>Passa</v>
      </c>
      <c r="Q233" s="38">
        <f>IF(AND(O233="Negada",P233="Negada"),0,IF(A233="Ativo",M233*0.08,0))</f>
        <v>0</v>
      </c>
    </row>
    <row r="234" spans="1:17" ht="15.75" customHeight="1">
      <c r="A234" s="35" t="s">
        <v>82</v>
      </c>
      <c r="B234" s="35" t="s">
        <v>179</v>
      </c>
      <c r="C234" s="35" t="s">
        <v>551</v>
      </c>
      <c r="D234" s="35" t="str">
        <f t="shared" si="6"/>
        <v>000.000.020-00</v>
      </c>
      <c r="E234" s="36">
        <v>25054</v>
      </c>
      <c r="F234" s="37">
        <v>58</v>
      </c>
      <c r="G234" s="35" t="s">
        <v>197</v>
      </c>
      <c r="H234" s="35" t="s">
        <v>89</v>
      </c>
      <c r="I234" s="38">
        <v>4500</v>
      </c>
      <c r="J234" s="38">
        <v>20000</v>
      </c>
      <c r="K234" s="35" t="s">
        <v>50</v>
      </c>
      <c r="L234" s="37">
        <v>9</v>
      </c>
      <c r="M234" s="38">
        <v>49000</v>
      </c>
      <c r="N234" s="35" t="str">
        <f t="shared" si="0"/>
        <v>Baixo</v>
      </c>
      <c r="O234" s="35" t="str">
        <f t="shared" si="1"/>
        <v>Passa</v>
      </c>
      <c r="P234" s="35" t="str">
        <f t="shared" si="2"/>
        <v>Passa</v>
      </c>
      <c r="Q234" s="38">
        <f>IF(AND(O234="Negada",P234="Negada"),0,IF(A234="Ativo",M234*0.08,0))</f>
        <v>0</v>
      </c>
    </row>
    <row r="235" spans="1:17" ht="15.75" customHeight="1">
      <c r="A235" s="35" t="s">
        <v>82</v>
      </c>
      <c r="B235" s="35" t="s">
        <v>552</v>
      </c>
      <c r="C235" s="35" t="s">
        <v>553</v>
      </c>
      <c r="D235" s="35" t="str">
        <f t="shared" si="6"/>
        <v>000.000.064-00</v>
      </c>
      <c r="E235" s="36">
        <v>25206</v>
      </c>
      <c r="F235" s="37">
        <v>57</v>
      </c>
      <c r="G235" s="35" t="s">
        <v>123</v>
      </c>
      <c r="H235" s="35" t="s">
        <v>124</v>
      </c>
      <c r="I235" s="38">
        <v>3400</v>
      </c>
      <c r="J235" s="38">
        <v>23500</v>
      </c>
      <c r="K235" s="35" t="s">
        <v>49</v>
      </c>
      <c r="L235" s="37">
        <v>20</v>
      </c>
      <c r="M235" s="38">
        <v>19500</v>
      </c>
      <c r="N235" s="35" t="str">
        <f t="shared" si="0"/>
        <v>Médio</v>
      </c>
      <c r="O235" s="35" t="str">
        <f t="shared" si="1"/>
        <v>Passa</v>
      </c>
      <c r="P235" s="35" t="str">
        <f t="shared" si="2"/>
        <v>Passa</v>
      </c>
      <c r="Q235" s="38">
        <f>IF(AND(O235="Negada",P235="Negada"),0,IF(A235="Ativo",M235*0.08,0))</f>
        <v>0</v>
      </c>
    </row>
    <row r="236" spans="1:17" ht="15.75" customHeight="1">
      <c r="A236" s="35" t="s">
        <v>77</v>
      </c>
      <c r="B236" s="35" t="s">
        <v>554</v>
      </c>
      <c r="C236" s="35" t="s">
        <v>555</v>
      </c>
      <c r="D236" s="35" t="str">
        <f t="shared" si="6"/>
        <v>000.000.220-00</v>
      </c>
      <c r="E236" s="36">
        <v>22366</v>
      </c>
      <c r="F236" s="37">
        <v>65</v>
      </c>
      <c r="G236" s="35" t="s">
        <v>156</v>
      </c>
      <c r="H236" s="35" t="s">
        <v>134</v>
      </c>
      <c r="I236" s="38">
        <v>18000</v>
      </c>
      <c r="J236" s="38">
        <v>0</v>
      </c>
      <c r="K236" s="35" t="s">
        <v>49</v>
      </c>
      <c r="L236" s="37">
        <v>27</v>
      </c>
      <c r="M236" s="38">
        <v>38500</v>
      </c>
      <c r="N236" s="35" t="str">
        <f t="shared" si="0"/>
        <v>Alto</v>
      </c>
      <c r="O236" s="35" t="str">
        <f t="shared" si="1"/>
        <v>Passa</v>
      </c>
      <c r="P236" s="35" t="str">
        <f t="shared" si="2"/>
        <v>Passa</v>
      </c>
      <c r="Q236" s="38">
        <f>IF(AND(O236="Negada",P236="Negada"),0,IF(A236="Ativo",M236*0.08,0))</f>
        <v>3080</v>
      </c>
    </row>
    <row r="237" spans="1:17" ht="15.75" customHeight="1">
      <c r="A237" s="35" t="s">
        <v>77</v>
      </c>
      <c r="B237" s="35" t="s">
        <v>556</v>
      </c>
      <c r="C237" s="35" t="s">
        <v>557</v>
      </c>
      <c r="D237" s="35" t="str">
        <f t="shared" si="6"/>
        <v>000.000.256-00</v>
      </c>
      <c r="E237" s="36">
        <v>31814</v>
      </c>
      <c r="F237" s="37">
        <v>39</v>
      </c>
      <c r="G237" s="35" t="s">
        <v>139</v>
      </c>
      <c r="H237" s="35" t="s">
        <v>128</v>
      </c>
      <c r="I237" s="38">
        <v>9300</v>
      </c>
      <c r="J237" s="38">
        <v>36500</v>
      </c>
      <c r="K237" s="35" t="s">
        <v>49</v>
      </c>
      <c r="L237" s="37"/>
      <c r="M237" s="38">
        <v>3000</v>
      </c>
      <c r="N237" s="35" t="str">
        <f t="shared" si="0"/>
        <v/>
      </c>
      <c r="O237" s="35" t="str">
        <f t="shared" si="1"/>
        <v>Passa</v>
      </c>
      <c r="P237" s="35" t="str">
        <f t="shared" si="2"/>
        <v>Passa</v>
      </c>
      <c r="Q237" s="38">
        <f>IF(AND(O237="Negada",P237="Negada"),0,IF(A237="Ativo",M237*0.08,0))</f>
        <v>240</v>
      </c>
    </row>
    <row r="238" spans="1:17" ht="15.75" customHeight="1">
      <c r="A238" s="35" t="s">
        <v>77</v>
      </c>
      <c r="B238" s="35" t="s">
        <v>558</v>
      </c>
      <c r="C238" s="35" t="s">
        <v>559</v>
      </c>
      <c r="D238" s="35" t="str">
        <f t="shared" si="6"/>
        <v>000.000.305-00</v>
      </c>
      <c r="E238" s="36">
        <v>23278</v>
      </c>
      <c r="F238" s="37">
        <v>62</v>
      </c>
      <c r="G238" s="35" t="s">
        <v>127</v>
      </c>
      <c r="H238" s="35" t="s">
        <v>128</v>
      </c>
      <c r="I238" s="38">
        <v>17000</v>
      </c>
      <c r="J238" s="38">
        <v>64000</v>
      </c>
      <c r="K238" s="35" t="s">
        <v>50</v>
      </c>
      <c r="L238" s="37">
        <v>21</v>
      </c>
      <c r="M238" s="38">
        <v>19000</v>
      </c>
      <c r="N238" s="35" t="str">
        <f t="shared" si="0"/>
        <v>Médio</v>
      </c>
      <c r="O238" s="35" t="str">
        <f t="shared" si="1"/>
        <v>Passa</v>
      </c>
      <c r="P238" s="35" t="str">
        <f t="shared" si="2"/>
        <v>Negada</v>
      </c>
      <c r="Q238" s="38">
        <f>IF(AND(O238="Negada",P238="Negada"),0,IF(A238="Ativo",M238*0.08,0))</f>
        <v>1520</v>
      </c>
    </row>
    <row r="239" spans="1:17" ht="15.75" customHeight="1">
      <c r="A239" s="35" t="s">
        <v>82</v>
      </c>
      <c r="B239" s="35" t="s">
        <v>560</v>
      </c>
      <c r="C239" s="35" t="s">
        <v>561</v>
      </c>
      <c r="D239" s="35" t="str">
        <f t="shared" si="6"/>
        <v>000.000.074-00</v>
      </c>
      <c r="E239" s="36">
        <v>20785</v>
      </c>
      <c r="F239" s="37">
        <v>69</v>
      </c>
      <c r="G239" s="35" t="s">
        <v>127</v>
      </c>
      <c r="H239" s="35" t="s">
        <v>128</v>
      </c>
      <c r="I239" s="38">
        <v>16000</v>
      </c>
      <c r="J239" s="38">
        <v>48000</v>
      </c>
      <c r="K239" s="35" t="s">
        <v>49</v>
      </c>
      <c r="L239" s="37">
        <v>29</v>
      </c>
      <c r="M239" s="38">
        <v>74500</v>
      </c>
      <c r="N239" s="35" t="str">
        <f t="shared" si="0"/>
        <v>Alto</v>
      </c>
      <c r="O239" s="35" t="str">
        <f t="shared" si="1"/>
        <v>Passa</v>
      </c>
      <c r="P239" s="35" t="str">
        <f t="shared" si="2"/>
        <v>Passa</v>
      </c>
      <c r="Q239" s="38">
        <f>IF(AND(O239="Negada",P239="Negada"),0,IF(A239="Ativo",M239*0.08,0))</f>
        <v>0</v>
      </c>
    </row>
    <row r="240" spans="1:17" ht="15.75" customHeight="1">
      <c r="A240" s="35" t="s">
        <v>82</v>
      </c>
      <c r="B240" s="35" t="s">
        <v>562</v>
      </c>
      <c r="C240" s="35" t="s">
        <v>563</v>
      </c>
      <c r="D240" s="35" t="str">
        <f t="shared" si="6"/>
        <v>000.000.271-00</v>
      </c>
      <c r="E240" s="36">
        <v>25895</v>
      </c>
      <c r="F240" s="37">
        <v>55</v>
      </c>
      <c r="G240" s="35" t="s">
        <v>108</v>
      </c>
      <c r="H240" s="35" t="s">
        <v>109</v>
      </c>
      <c r="I240" s="38">
        <v>6800</v>
      </c>
      <c r="J240" s="38">
        <v>12000</v>
      </c>
      <c r="K240" s="35" t="s">
        <v>49</v>
      </c>
      <c r="L240" s="37">
        <v>6</v>
      </c>
      <c r="M240" s="38">
        <v>11000</v>
      </c>
      <c r="N240" s="35" t="str">
        <f t="shared" si="0"/>
        <v>Baixo</v>
      </c>
      <c r="O240" s="35" t="str">
        <f t="shared" si="1"/>
        <v>Passa</v>
      </c>
      <c r="P240" s="35" t="str">
        <f t="shared" si="2"/>
        <v>Passa</v>
      </c>
      <c r="Q240" s="38">
        <f>IF(AND(O240="Negada",P240="Negada"),0,IF(A240="Ativo",M240*0.08,0))</f>
        <v>0</v>
      </c>
    </row>
    <row r="241" spans="1:17" ht="15.75" customHeight="1">
      <c r="A241" s="35" t="s">
        <v>77</v>
      </c>
      <c r="B241" s="35" t="s">
        <v>564</v>
      </c>
      <c r="C241" s="35" t="s">
        <v>565</v>
      </c>
      <c r="D241" s="35" t="str">
        <f t="shared" si="6"/>
        <v>000.000.144-00</v>
      </c>
      <c r="E241" s="36">
        <v>37026</v>
      </c>
      <c r="F241" s="37">
        <v>25</v>
      </c>
      <c r="G241" s="35" t="s">
        <v>269</v>
      </c>
      <c r="H241" s="35" t="s">
        <v>85</v>
      </c>
      <c r="I241" s="38">
        <v>28200</v>
      </c>
      <c r="J241" s="38">
        <v>0</v>
      </c>
      <c r="K241" s="35" t="s">
        <v>49</v>
      </c>
      <c r="L241" s="37">
        <v>29</v>
      </c>
      <c r="M241" s="38">
        <v>92500</v>
      </c>
      <c r="N241" s="35" t="str">
        <f t="shared" si="0"/>
        <v>Alto</v>
      </c>
      <c r="O241" s="35" t="str">
        <f t="shared" si="1"/>
        <v>Passa</v>
      </c>
      <c r="P241" s="35" t="str">
        <f t="shared" si="2"/>
        <v>Passa</v>
      </c>
      <c r="Q241" s="38">
        <f>IF(AND(O241="Negada",P241="Negada"),0,IF(A241="Ativo",M241*0.08,0))</f>
        <v>7400</v>
      </c>
    </row>
    <row r="242" spans="1:17" ht="15.75" customHeight="1">
      <c r="A242" s="35" t="s">
        <v>82</v>
      </c>
      <c r="B242" s="35" t="s">
        <v>319</v>
      </c>
      <c r="C242" s="35" t="s">
        <v>566</v>
      </c>
      <c r="D242" s="35" t="str">
        <f t="shared" si="6"/>
        <v>000.000.349-00</v>
      </c>
      <c r="E242" s="36">
        <v>34387</v>
      </c>
      <c r="F242" s="37">
        <v>32</v>
      </c>
      <c r="G242" s="35" t="s">
        <v>127</v>
      </c>
      <c r="H242" s="35" t="s">
        <v>128</v>
      </c>
      <c r="I242" s="38">
        <v>20500</v>
      </c>
      <c r="J242" s="38">
        <v>0</v>
      </c>
      <c r="K242" s="35" t="s">
        <v>49</v>
      </c>
      <c r="L242" s="37">
        <v>41</v>
      </c>
      <c r="M242" s="38">
        <v>54500</v>
      </c>
      <c r="N242" s="35" t="str">
        <f t="shared" si="0"/>
        <v>Alto</v>
      </c>
      <c r="O242" s="35" t="str">
        <f t="shared" si="1"/>
        <v>Passa</v>
      </c>
      <c r="P242" s="35" t="str">
        <f t="shared" si="2"/>
        <v>Passa</v>
      </c>
      <c r="Q242" s="38">
        <f>IF(AND(O242="Negada",P242="Negada"),0,IF(A242="Ativo",M242*0.08,0))</f>
        <v>0</v>
      </c>
    </row>
    <row r="243" spans="1:17" ht="15.75" customHeight="1">
      <c r="A243" s="35" t="s">
        <v>77</v>
      </c>
      <c r="B243" s="35" t="s">
        <v>567</v>
      </c>
      <c r="C243" s="35" t="s">
        <v>568</v>
      </c>
      <c r="D243" s="35" t="str">
        <f t="shared" si="6"/>
        <v>000.000.126-00</v>
      </c>
      <c r="E243" s="36">
        <v>26620</v>
      </c>
      <c r="F243" s="37">
        <v>53</v>
      </c>
      <c r="G243" s="35" t="s">
        <v>80</v>
      </c>
      <c r="H243" s="35" t="s">
        <v>81</v>
      </c>
      <c r="I243" s="38">
        <v>21300</v>
      </c>
      <c r="J243" s="38">
        <v>79500</v>
      </c>
      <c r="K243" s="35" t="s">
        <v>49</v>
      </c>
      <c r="L243" s="37">
        <v>18</v>
      </c>
      <c r="M243" s="38">
        <v>19000</v>
      </c>
      <c r="N243" s="35" t="str">
        <f t="shared" si="0"/>
        <v>Médio</v>
      </c>
      <c r="O243" s="35" t="str">
        <f t="shared" si="1"/>
        <v>Passa</v>
      </c>
      <c r="P243" s="35" t="str">
        <f t="shared" si="2"/>
        <v>Passa</v>
      </c>
      <c r="Q243" s="38">
        <f>IF(AND(O243="Negada",P243="Negada"),0,IF(A243="Ativo",M243*0.08,0))</f>
        <v>1520</v>
      </c>
    </row>
    <row r="244" spans="1:17" ht="15.75" customHeight="1">
      <c r="A244" s="35" t="s">
        <v>77</v>
      </c>
      <c r="B244" s="35" t="s">
        <v>569</v>
      </c>
      <c r="C244" s="35" t="s">
        <v>570</v>
      </c>
      <c r="D244" s="35" t="str">
        <f t="shared" si="6"/>
        <v>000.000.236-00</v>
      </c>
      <c r="E244" s="36">
        <v>20943</v>
      </c>
      <c r="F244" s="37">
        <v>69</v>
      </c>
      <c r="G244" s="35" t="s">
        <v>88</v>
      </c>
      <c r="H244" s="35" t="s">
        <v>89</v>
      </c>
      <c r="I244" s="38">
        <v>13800</v>
      </c>
      <c r="J244" s="38">
        <v>62000</v>
      </c>
      <c r="K244" s="35" t="s">
        <v>49</v>
      </c>
      <c r="L244" s="37">
        <v>31</v>
      </c>
      <c r="M244" s="38">
        <v>60500</v>
      </c>
      <c r="N244" s="35" t="str">
        <f t="shared" si="0"/>
        <v>Alto</v>
      </c>
      <c r="O244" s="35" t="str">
        <f t="shared" si="1"/>
        <v>Passa</v>
      </c>
      <c r="P244" s="35" t="str">
        <f t="shared" si="2"/>
        <v>Passa</v>
      </c>
      <c r="Q244" s="38">
        <f>IF(AND(O244="Negada",P244="Negada"),0,IF(A244="Ativo",M244*0.08,0))</f>
        <v>4840</v>
      </c>
    </row>
    <row r="245" spans="1:17" ht="15.75" customHeight="1">
      <c r="A245" s="35" t="s">
        <v>77</v>
      </c>
      <c r="B245" s="35" t="s">
        <v>571</v>
      </c>
      <c r="C245" s="35" t="s">
        <v>572</v>
      </c>
      <c r="D245" s="35" t="str">
        <f t="shared" si="6"/>
        <v>000.000.043-00</v>
      </c>
      <c r="E245" s="36">
        <v>36316</v>
      </c>
      <c r="F245" s="37">
        <v>27</v>
      </c>
      <c r="G245" s="35" t="s">
        <v>133</v>
      </c>
      <c r="H245" s="35" t="s">
        <v>134</v>
      </c>
      <c r="I245" s="38">
        <v>10700</v>
      </c>
      <c r="J245" s="38">
        <v>60000</v>
      </c>
      <c r="K245" s="35" t="s">
        <v>49</v>
      </c>
      <c r="L245" s="37">
        <v>44</v>
      </c>
      <c r="M245" s="38">
        <v>48000</v>
      </c>
      <c r="N245" s="35" t="str">
        <f t="shared" si="0"/>
        <v>Alto</v>
      </c>
      <c r="O245" s="35" t="str">
        <f t="shared" si="1"/>
        <v>Passa</v>
      </c>
      <c r="P245" s="35" t="str">
        <f t="shared" si="2"/>
        <v>Passa</v>
      </c>
      <c r="Q245" s="38">
        <f>IF(AND(O245="Negada",P245="Negada"),0,IF(A245="Ativo",M245*0.08,0))</f>
        <v>3840</v>
      </c>
    </row>
    <row r="246" spans="1:17" ht="15.75" customHeight="1">
      <c r="A246" s="35" t="s">
        <v>77</v>
      </c>
      <c r="B246" s="35" t="s">
        <v>573</v>
      </c>
      <c r="C246" s="35" t="s">
        <v>574</v>
      </c>
      <c r="D246" s="35" t="str">
        <f t="shared" si="6"/>
        <v>000.000.193-00</v>
      </c>
      <c r="E246" s="36">
        <v>19131</v>
      </c>
      <c r="F246" s="37">
        <v>74</v>
      </c>
      <c r="G246" s="35" t="s">
        <v>197</v>
      </c>
      <c r="H246" s="35" t="s">
        <v>89</v>
      </c>
      <c r="I246" s="38">
        <v>20700</v>
      </c>
      <c r="J246" s="38">
        <v>17500</v>
      </c>
      <c r="K246" s="35" t="s">
        <v>49</v>
      </c>
      <c r="L246" s="37">
        <v>35</v>
      </c>
      <c r="M246" s="38">
        <v>65000</v>
      </c>
      <c r="N246" s="35" t="str">
        <f t="shared" si="0"/>
        <v>Alto</v>
      </c>
      <c r="O246" s="35" t="str">
        <f t="shared" si="1"/>
        <v>Passa</v>
      </c>
      <c r="P246" s="35" t="str">
        <f t="shared" si="2"/>
        <v>Passa</v>
      </c>
      <c r="Q246" s="38">
        <f>IF(AND(O246="Negada",P246="Negada"),0,IF(A246="Ativo",M246*0.08,0))</f>
        <v>5200</v>
      </c>
    </row>
    <row r="247" spans="1:17" ht="15.75" customHeight="1">
      <c r="A247" s="35" t="s">
        <v>77</v>
      </c>
      <c r="B247" s="35" t="s">
        <v>575</v>
      </c>
      <c r="C247" s="35" t="s">
        <v>576</v>
      </c>
      <c r="D247" s="35" t="str">
        <f t="shared" si="6"/>
        <v>000.000.155-00</v>
      </c>
      <c r="E247" s="36">
        <v>39230</v>
      </c>
      <c r="F247" s="37">
        <v>19</v>
      </c>
      <c r="G247" s="35" t="s">
        <v>156</v>
      </c>
      <c r="H247" s="35" t="s">
        <v>134</v>
      </c>
      <c r="I247" s="38">
        <v>18000</v>
      </c>
      <c r="J247" s="38">
        <v>49500</v>
      </c>
      <c r="K247" s="35" t="s">
        <v>49</v>
      </c>
      <c r="L247" s="37">
        <v>25</v>
      </c>
      <c r="M247" s="38">
        <v>46500</v>
      </c>
      <c r="N247" s="35" t="str">
        <f t="shared" si="0"/>
        <v>Médio</v>
      </c>
      <c r="O247" s="35" t="str">
        <f t="shared" si="1"/>
        <v>Passa</v>
      </c>
      <c r="P247" s="35" t="str">
        <f t="shared" si="2"/>
        <v>Passa</v>
      </c>
      <c r="Q247" s="38">
        <f>IF(AND(O247="Negada",P247="Negada"),0,IF(A247="Ativo",M247*0.08,0))</f>
        <v>3720</v>
      </c>
    </row>
    <row r="248" spans="1:17" ht="15.75" customHeight="1">
      <c r="A248" s="35" t="s">
        <v>82</v>
      </c>
      <c r="B248" s="35" t="s">
        <v>529</v>
      </c>
      <c r="C248" s="35" t="s">
        <v>530</v>
      </c>
      <c r="D248" s="35" t="str">
        <f t="shared" si="6"/>
        <v>000.000.322-00</v>
      </c>
      <c r="E248" s="36">
        <v>36540</v>
      </c>
      <c r="F248" s="37">
        <v>26</v>
      </c>
      <c r="G248" s="35" t="s">
        <v>88</v>
      </c>
      <c r="H248" s="35" t="s">
        <v>89</v>
      </c>
      <c r="I248" s="38">
        <v>24000</v>
      </c>
      <c r="J248" s="38">
        <v>52000</v>
      </c>
      <c r="K248" s="35" t="s">
        <v>49</v>
      </c>
      <c r="L248" s="37">
        <v>30</v>
      </c>
      <c r="M248" s="38">
        <v>11500</v>
      </c>
      <c r="N248" s="35" t="str">
        <f t="shared" si="0"/>
        <v>Alto</v>
      </c>
      <c r="O248" s="35" t="str">
        <f t="shared" si="1"/>
        <v>Passa</v>
      </c>
      <c r="P248" s="35" t="str">
        <f t="shared" si="2"/>
        <v>Passa</v>
      </c>
      <c r="Q248" s="38">
        <f>IF(AND(O248="Negada",P248="Negada"),0,IF(A248="Ativo",M248*0.08,0))</f>
        <v>0</v>
      </c>
    </row>
    <row r="249" spans="1:17" ht="15.75" customHeight="1">
      <c r="A249" s="35" t="s">
        <v>77</v>
      </c>
      <c r="B249" s="35" t="s">
        <v>577</v>
      </c>
      <c r="C249" s="35" t="s">
        <v>578</v>
      </c>
      <c r="D249" s="35" t="str">
        <f t="shared" si="6"/>
        <v>000.000.265-00</v>
      </c>
      <c r="E249" s="36">
        <v>28841</v>
      </c>
      <c r="F249" s="37">
        <v>47</v>
      </c>
      <c r="G249" s="35" t="s">
        <v>165</v>
      </c>
      <c r="H249" s="35" t="s">
        <v>165</v>
      </c>
      <c r="I249" s="38">
        <v>21300</v>
      </c>
      <c r="J249" s="38">
        <v>62000</v>
      </c>
      <c r="K249" s="35" t="s">
        <v>50</v>
      </c>
      <c r="L249" s="37">
        <v>37</v>
      </c>
      <c r="M249" s="38">
        <v>92500</v>
      </c>
      <c r="N249" s="35" t="str">
        <f t="shared" si="0"/>
        <v>Alto</v>
      </c>
      <c r="O249" s="35" t="str">
        <f t="shared" si="1"/>
        <v>Negada</v>
      </c>
      <c r="P249" s="35" t="str">
        <f t="shared" si="2"/>
        <v>Negada</v>
      </c>
      <c r="Q249" s="38">
        <f>IF(AND(O249="Negada",P249="Negada"),0,IF(A249="Ativo",M249*0.08,0))</f>
        <v>0</v>
      </c>
    </row>
    <row r="250" spans="1:17" ht="15.75" customHeight="1">
      <c r="A250" s="35" t="s">
        <v>77</v>
      </c>
      <c r="B250" s="35" t="s">
        <v>579</v>
      </c>
      <c r="C250" s="35" t="s">
        <v>580</v>
      </c>
      <c r="D250" s="35" t="str">
        <f t="shared" si="6"/>
        <v>000.000.378-00</v>
      </c>
      <c r="E250" s="36">
        <v>33746</v>
      </c>
      <c r="F250" s="37">
        <v>34</v>
      </c>
      <c r="G250" s="35" t="s">
        <v>165</v>
      </c>
      <c r="H250" s="35" t="s">
        <v>165</v>
      </c>
      <c r="I250" s="38">
        <v>28900</v>
      </c>
      <c r="J250" s="38">
        <v>37000</v>
      </c>
      <c r="K250" s="35" t="s">
        <v>49</v>
      </c>
      <c r="L250" s="37">
        <v>21</v>
      </c>
      <c r="M250" s="38">
        <v>97500</v>
      </c>
      <c r="N250" s="35" t="str">
        <f t="shared" si="0"/>
        <v>Médio</v>
      </c>
      <c r="O250" s="35" t="str">
        <f t="shared" si="1"/>
        <v>Passa</v>
      </c>
      <c r="P250" s="35" t="str">
        <f t="shared" si="2"/>
        <v>Passa</v>
      </c>
      <c r="Q250" s="38">
        <f>IF(AND(O250="Negada",P250="Negada"),0,IF(A250="Ativo",M250*0.08,0))</f>
        <v>7800</v>
      </c>
    </row>
    <row r="251" spans="1:17" ht="15.75" customHeight="1">
      <c r="A251" s="35" t="s">
        <v>77</v>
      </c>
      <c r="B251" s="35" t="s">
        <v>581</v>
      </c>
      <c r="C251" s="35" t="s">
        <v>582</v>
      </c>
      <c r="D251" s="35" t="str">
        <f t="shared" si="6"/>
        <v>000.000.313-00</v>
      </c>
      <c r="E251" s="36">
        <v>35180</v>
      </c>
      <c r="F251" s="37">
        <v>30</v>
      </c>
      <c r="G251" s="35" t="s">
        <v>139</v>
      </c>
      <c r="H251" s="35" t="s">
        <v>128</v>
      </c>
      <c r="I251" s="38">
        <v>13800</v>
      </c>
      <c r="J251" s="38">
        <v>42000</v>
      </c>
      <c r="K251" s="35"/>
      <c r="L251" s="37">
        <v>29</v>
      </c>
      <c r="M251" s="38">
        <v>7000</v>
      </c>
      <c r="N251" s="35" t="str">
        <f t="shared" si="0"/>
        <v>Alto</v>
      </c>
      <c r="O251" s="35" t="str">
        <f t="shared" si="1"/>
        <v>Passa</v>
      </c>
      <c r="P251" s="35" t="str">
        <f t="shared" si="2"/>
        <v>Passa</v>
      </c>
      <c r="Q251" s="38">
        <f>IF(AND(O251="Negada",P251="Negada"),0,IF(A251="Ativo",M251*0.08,0))</f>
        <v>560</v>
      </c>
    </row>
    <row r="252" spans="1:17" ht="15.75" customHeight="1">
      <c r="A252" s="35" t="s">
        <v>82</v>
      </c>
      <c r="B252" s="35" t="s">
        <v>583</v>
      </c>
      <c r="C252" s="35" t="s">
        <v>584</v>
      </c>
      <c r="D252" s="35" t="str">
        <f t="shared" si="6"/>
        <v>000.000.100-00</v>
      </c>
      <c r="E252" s="36">
        <v>21674</v>
      </c>
      <c r="F252" s="37">
        <v>67</v>
      </c>
      <c r="G252" s="35" t="s">
        <v>215</v>
      </c>
      <c r="H252" s="35" t="s">
        <v>216</v>
      </c>
      <c r="I252" s="38">
        <v>15200</v>
      </c>
      <c r="J252" s="38">
        <v>67500</v>
      </c>
      <c r="K252" s="35" t="s">
        <v>49</v>
      </c>
      <c r="L252" s="37">
        <v>12</v>
      </c>
      <c r="M252" s="38">
        <v>97500</v>
      </c>
      <c r="N252" s="35" t="str">
        <f t="shared" si="0"/>
        <v>Médio</v>
      </c>
      <c r="O252" s="35" t="str">
        <f t="shared" si="1"/>
        <v>Passa</v>
      </c>
      <c r="P252" s="35" t="str">
        <f t="shared" si="2"/>
        <v>Passa</v>
      </c>
      <c r="Q252" s="38">
        <f>IF(AND(O252="Negada",P252="Negada"),0,IF(A252="Ativo",M252*0.08,0))</f>
        <v>0</v>
      </c>
    </row>
    <row r="253" spans="1:17" ht="15.75" customHeight="1">
      <c r="A253" s="35" t="s">
        <v>77</v>
      </c>
      <c r="B253" s="35" t="s">
        <v>585</v>
      </c>
      <c r="C253" s="35" t="s">
        <v>586</v>
      </c>
      <c r="D253" s="35" t="str">
        <f t="shared" si="6"/>
        <v>000.000.379-00</v>
      </c>
      <c r="E253" s="36">
        <v>24578</v>
      </c>
      <c r="F253" s="37">
        <v>59</v>
      </c>
      <c r="G253" s="35" t="s">
        <v>215</v>
      </c>
      <c r="H253" s="35" t="s">
        <v>216</v>
      </c>
      <c r="I253" s="38">
        <v>6600</v>
      </c>
      <c r="J253" s="38">
        <v>50000</v>
      </c>
      <c r="K253" s="35" t="s">
        <v>50</v>
      </c>
      <c r="L253" s="37">
        <v>9</v>
      </c>
      <c r="M253" s="38">
        <v>25000</v>
      </c>
      <c r="N253" s="35" t="str">
        <f t="shared" si="0"/>
        <v>Baixo</v>
      </c>
      <c r="O253" s="35" t="str">
        <f t="shared" si="1"/>
        <v>Passa</v>
      </c>
      <c r="P253" s="35" t="str">
        <f t="shared" si="2"/>
        <v>Passa</v>
      </c>
      <c r="Q253" s="38">
        <f>IF(AND(O253="Negada",P253="Negada"),0,IF(A253="Ativo",M253*0.08,0))</f>
        <v>2000</v>
      </c>
    </row>
    <row r="254" spans="1:17" ht="15.75" customHeight="1">
      <c r="A254" s="35" t="s">
        <v>82</v>
      </c>
      <c r="B254" s="35" t="s">
        <v>587</v>
      </c>
      <c r="C254" s="35" t="s">
        <v>588</v>
      </c>
      <c r="D254" s="35" t="str">
        <f t="shared" si="6"/>
        <v>000.000.243-00</v>
      </c>
      <c r="E254" s="36">
        <v>37131</v>
      </c>
      <c r="F254" s="37">
        <v>25</v>
      </c>
      <c r="G254" s="35" t="s">
        <v>98</v>
      </c>
      <c r="H254" s="35" t="s">
        <v>99</v>
      </c>
      <c r="I254" s="38">
        <v>24500</v>
      </c>
      <c r="J254" s="38"/>
      <c r="K254" s="35" t="s">
        <v>49</v>
      </c>
      <c r="L254" s="37">
        <v>0</v>
      </c>
      <c r="M254" s="38">
        <v>55000</v>
      </c>
      <c r="N254" s="35" t="str">
        <f t="shared" si="0"/>
        <v>Baixo</v>
      </c>
      <c r="O254" s="35" t="str">
        <f t="shared" si="1"/>
        <v>Passa</v>
      </c>
      <c r="P254" s="35" t="str">
        <f t="shared" si="2"/>
        <v>Passa</v>
      </c>
      <c r="Q254" s="38">
        <f>IF(AND(O254="Negada",P254="Negada"),0,IF(A254="Ativo",M254*0.08,0))</f>
        <v>0</v>
      </c>
    </row>
    <row r="255" spans="1:17" ht="15.75" customHeight="1">
      <c r="A255" s="35" t="s">
        <v>77</v>
      </c>
      <c r="B255" s="35" t="s">
        <v>589</v>
      </c>
      <c r="C255" s="35" t="s">
        <v>590</v>
      </c>
      <c r="D255" s="35" t="str">
        <f t="shared" si="6"/>
        <v>000.000.128-00</v>
      </c>
      <c r="E255" s="36">
        <v>32796</v>
      </c>
      <c r="F255" s="37">
        <v>36</v>
      </c>
      <c r="G255" s="35" t="s">
        <v>88</v>
      </c>
      <c r="H255" s="35" t="s">
        <v>89</v>
      </c>
      <c r="I255" s="38">
        <v>28600</v>
      </c>
      <c r="J255" s="38"/>
      <c r="K255" s="35" t="s">
        <v>49</v>
      </c>
      <c r="L255" s="37">
        <v>19</v>
      </c>
      <c r="M255" s="38">
        <v>90000</v>
      </c>
      <c r="N255" s="35" t="str">
        <f t="shared" si="0"/>
        <v>Médio</v>
      </c>
      <c r="O255" s="35" t="str">
        <f t="shared" si="1"/>
        <v>Passa</v>
      </c>
      <c r="P255" s="35" t="str">
        <f t="shared" si="2"/>
        <v>Passa</v>
      </c>
      <c r="Q255" s="38">
        <f>IF(AND(O255="Negada",P255="Negada"),0,IF(A255="Ativo",M255*0.08,0))</f>
        <v>7200</v>
      </c>
    </row>
    <row r="256" spans="1:17" ht="15.75" customHeight="1">
      <c r="A256" s="35" t="s">
        <v>82</v>
      </c>
      <c r="B256" s="35" t="s">
        <v>591</v>
      </c>
      <c r="C256" s="35" t="s">
        <v>592</v>
      </c>
      <c r="D256" s="35" t="str">
        <f t="shared" si="6"/>
        <v>000.000.380-00</v>
      </c>
      <c r="E256" s="36">
        <v>32914</v>
      </c>
      <c r="F256" s="37">
        <v>36</v>
      </c>
      <c r="G256" s="35" t="s">
        <v>215</v>
      </c>
      <c r="H256" s="35" t="s">
        <v>216</v>
      </c>
      <c r="I256" s="38">
        <v>27600</v>
      </c>
      <c r="J256" s="38">
        <v>37000</v>
      </c>
      <c r="K256" s="35" t="s">
        <v>49</v>
      </c>
      <c r="L256" s="37">
        <v>15</v>
      </c>
      <c r="M256" s="38">
        <v>41500</v>
      </c>
      <c r="N256" s="35" t="str">
        <f t="shared" si="0"/>
        <v>Médio</v>
      </c>
      <c r="O256" s="35" t="str">
        <f t="shared" si="1"/>
        <v>Passa</v>
      </c>
      <c r="P256" s="35" t="str">
        <f t="shared" si="2"/>
        <v>Passa</v>
      </c>
      <c r="Q256" s="38">
        <f>IF(AND(O256="Negada",P256="Negada"),0,IF(A256="Ativo",M256*0.08,0))</f>
        <v>0</v>
      </c>
    </row>
    <row r="257" spans="1:17" ht="15.75" customHeight="1">
      <c r="A257" s="35" t="s">
        <v>82</v>
      </c>
      <c r="B257" s="35" t="s">
        <v>593</v>
      </c>
      <c r="C257" s="35" t="s">
        <v>594</v>
      </c>
      <c r="D257" s="35" t="str">
        <f t="shared" si="6"/>
        <v>000.000.171-00</v>
      </c>
      <c r="E257" s="36">
        <v>29506</v>
      </c>
      <c r="F257" s="37">
        <v>45</v>
      </c>
      <c r="G257" s="35" t="s">
        <v>269</v>
      </c>
      <c r="H257" s="35" t="s">
        <v>85</v>
      </c>
      <c r="I257" s="38">
        <v>5100</v>
      </c>
      <c r="J257" s="38">
        <v>25000</v>
      </c>
      <c r="K257" s="35" t="s">
        <v>49</v>
      </c>
      <c r="L257" s="37">
        <v>29</v>
      </c>
      <c r="M257" s="38">
        <v>88000</v>
      </c>
      <c r="N257" s="35" t="str">
        <f t="shared" si="0"/>
        <v>Alto</v>
      </c>
      <c r="O257" s="35" t="str">
        <f t="shared" si="1"/>
        <v>Passa</v>
      </c>
      <c r="P257" s="35" t="str">
        <f t="shared" si="2"/>
        <v>Passa</v>
      </c>
      <c r="Q257" s="38">
        <f>IF(AND(O257="Negada",P257="Negada"),0,IF(A257="Ativo",M257*0.08,0))</f>
        <v>0</v>
      </c>
    </row>
    <row r="258" spans="1:17" ht="15.75" customHeight="1">
      <c r="A258" s="35" t="s">
        <v>77</v>
      </c>
      <c r="B258" s="35" t="s">
        <v>595</v>
      </c>
      <c r="C258" s="35" t="s">
        <v>596</v>
      </c>
      <c r="D258" s="35" t="str">
        <f t="shared" si="6"/>
        <v>000.000.093-00</v>
      </c>
      <c r="E258" s="36">
        <v>25551</v>
      </c>
      <c r="F258" s="37">
        <v>56</v>
      </c>
      <c r="G258" s="35" t="s">
        <v>165</v>
      </c>
      <c r="H258" s="35" t="s">
        <v>165</v>
      </c>
      <c r="I258" s="38">
        <v>22600</v>
      </c>
      <c r="J258" s="38">
        <v>63000</v>
      </c>
      <c r="K258" s="35" t="s">
        <v>49</v>
      </c>
      <c r="L258" s="37">
        <v>33</v>
      </c>
      <c r="M258" s="38">
        <v>53000</v>
      </c>
      <c r="N258" s="35" t="str">
        <f t="shared" si="0"/>
        <v>Alto</v>
      </c>
      <c r="O258" s="35" t="str">
        <f t="shared" ref="O258:O402" si="7">IF(AND(N258="Alto",K258="Sim"),"Negada","Passa")</f>
        <v>Passa</v>
      </c>
      <c r="P258" s="35" t="str">
        <f t="shared" si="2"/>
        <v>Passa</v>
      </c>
      <c r="Q258" s="38">
        <f>IF(AND(O258="Negada",P258="Negada"),0,IF(A258="Ativo",M258*0.08,0))</f>
        <v>4240</v>
      </c>
    </row>
    <row r="259" spans="1:17" ht="15.75" customHeight="1">
      <c r="A259" s="35" t="s">
        <v>77</v>
      </c>
      <c r="B259" s="35" t="s">
        <v>597</v>
      </c>
      <c r="C259" s="35" t="s">
        <v>598</v>
      </c>
      <c r="D259" s="35" t="str">
        <f t="shared" ref="D259:D322" si="8">TEXT(C259,"000\.000\.000\-00")</f>
        <v>000.000.111-00</v>
      </c>
      <c r="E259" s="36">
        <v>29007</v>
      </c>
      <c r="F259" s="37">
        <v>47</v>
      </c>
      <c r="G259" s="35" t="s">
        <v>108</v>
      </c>
      <c r="H259" s="35" t="s">
        <v>109</v>
      </c>
      <c r="I259" s="38">
        <v>5000</v>
      </c>
      <c r="J259" s="38">
        <v>75500</v>
      </c>
      <c r="K259" s="35" t="s">
        <v>50</v>
      </c>
      <c r="L259" s="37">
        <v>2</v>
      </c>
      <c r="M259" s="38">
        <v>89500</v>
      </c>
      <c r="N259" s="35" t="str">
        <f t="shared" ref="N259:N403" si="9">IF(L259="","",IF(L259&lt;=10,"Baixo",IF(L259&lt;=25,"Médio","Alto")))</f>
        <v>Baixo</v>
      </c>
      <c r="O259" s="35" t="str">
        <f t="shared" si="7"/>
        <v>Passa</v>
      </c>
      <c r="P259" s="35" t="str">
        <f t="shared" ref="P259:P403" si="10">IF(AND(J259&lt;&gt;"",J259&gt;50000,K259="Sim"),"Negada","Passa")</f>
        <v>Negada</v>
      </c>
      <c r="Q259" s="38">
        <f>IF(AND(O259="Negada",P259="Negada"),0,IF(A259="Ativo",M259*0.08,0))</f>
        <v>7160</v>
      </c>
    </row>
    <row r="260" spans="1:17" ht="15.75" customHeight="1">
      <c r="A260" s="35" t="s">
        <v>77</v>
      </c>
      <c r="B260" s="35" t="s">
        <v>147</v>
      </c>
      <c r="C260" s="35" t="s">
        <v>599</v>
      </c>
      <c r="D260" s="35" t="str">
        <f t="shared" si="8"/>
        <v>000.000.007-00</v>
      </c>
      <c r="E260" s="36">
        <v>30069</v>
      </c>
      <c r="F260" s="37">
        <v>44</v>
      </c>
      <c r="G260" s="35" t="s">
        <v>123</v>
      </c>
      <c r="H260" s="35" t="s">
        <v>124</v>
      </c>
      <c r="I260" s="38">
        <v>21700</v>
      </c>
      <c r="J260" s="38">
        <v>34500</v>
      </c>
      <c r="K260" s="35" t="s">
        <v>49</v>
      </c>
      <c r="L260" s="37">
        <v>29</v>
      </c>
      <c r="M260" s="38">
        <v>10500</v>
      </c>
      <c r="N260" s="35" t="str">
        <f t="shared" si="9"/>
        <v>Alto</v>
      </c>
      <c r="O260" s="35" t="str">
        <f t="shared" si="7"/>
        <v>Passa</v>
      </c>
      <c r="P260" s="35" t="str">
        <f t="shared" si="10"/>
        <v>Passa</v>
      </c>
      <c r="Q260" s="38">
        <f>IF(AND(O260="Negada",P260="Negada"),0,IF(A260="Ativo",M260*0.08,0))</f>
        <v>840</v>
      </c>
    </row>
    <row r="261" spans="1:17" ht="15.75" customHeight="1">
      <c r="A261" s="35" t="s">
        <v>77</v>
      </c>
      <c r="B261" s="35" t="s">
        <v>600</v>
      </c>
      <c r="C261" s="35" t="s">
        <v>601</v>
      </c>
      <c r="D261" s="35" t="str">
        <f t="shared" si="8"/>
        <v>000.000.159-00</v>
      </c>
      <c r="E261" s="36">
        <v>36411</v>
      </c>
      <c r="F261" s="37">
        <v>27</v>
      </c>
      <c r="G261" s="35" t="s">
        <v>123</v>
      </c>
      <c r="H261" s="35" t="s">
        <v>124</v>
      </c>
      <c r="I261" s="38">
        <v>9200</v>
      </c>
      <c r="J261" s="38">
        <v>68500</v>
      </c>
      <c r="K261" s="35" t="s">
        <v>49</v>
      </c>
      <c r="L261" s="37">
        <v>27</v>
      </c>
      <c r="M261" s="38">
        <v>7000</v>
      </c>
      <c r="N261" s="35" t="str">
        <f t="shared" si="9"/>
        <v>Alto</v>
      </c>
      <c r="O261" s="35" t="str">
        <f t="shared" si="7"/>
        <v>Passa</v>
      </c>
      <c r="P261" s="35" t="str">
        <f t="shared" si="10"/>
        <v>Passa</v>
      </c>
      <c r="Q261" s="38">
        <f>IF(AND(O261="Negada",P261="Negada"),0,IF(A261="Ativo",M261*0.08,0))</f>
        <v>560</v>
      </c>
    </row>
    <row r="262" spans="1:17" ht="15.75" customHeight="1">
      <c r="A262" s="35" t="s">
        <v>82</v>
      </c>
      <c r="B262" s="35" t="s">
        <v>602</v>
      </c>
      <c r="C262" s="35" t="s">
        <v>603</v>
      </c>
      <c r="D262" s="35" t="str">
        <f t="shared" si="8"/>
        <v>000.000.324-00</v>
      </c>
      <c r="E262" s="36">
        <v>28286</v>
      </c>
      <c r="F262" s="37">
        <v>49</v>
      </c>
      <c r="G262" s="35" t="s">
        <v>92</v>
      </c>
      <c r="H262" s="35" t="s">
        <v>93</v>
      </c>
      <c r="I262" s="38">
        <v>21900</v>
      </c>
      <c r="J262" s="38">
        <v>69000</v>
      </c>
      <c r="K262" s="35" t="s">
        <v>49</v>
      </c>
      <c r="L262" s="37">
        <v>4</v>
      </c>
      <c r="M262" s="38">
        <v>80500</v>
      </c>
      <c r="N262" s="35" t="str">
        <f t="shared" si="9"/>
        <v>Baixo</v>
      </c>
      <c r="O262" s="35" t="str">
        <f t="shared" si="7"/>
        <v>Passa</v>
      </c>
      <c r="P262" s="35" t="str">
        <f t="shared" si="10"/>
        <v>Passa</v>
      </c>
      <c r="Q262" s="38">
        <f>IF(AND(O262="Negada",P262="Negada"),0,IF(A262="Ativo",M262*0.08,0))</f>
        <v>0</v>
      </c>
    </row>
    <row r="263" spans="1:17" ht="15.75" customHeight="1">
      <c r="A263" s="35" t="s">
        <v>77</v>
      </c>
      <c r="B263" s="35" t="s">
        <v>604</v>
      </c>
      <c r="C263" s="35" t="s">
        <v>605</v>
      </c>
      <c r="D263" s="35" t="str">
        <f t="shared" si="8"/>
        <v>000.000.296-00</v>
      </c>
      <c r="E263" s="36">
        <v>20187</v>
      </c>
      <c r="F263" s="37">
        <v>71</v>
      </c>
      <c r="G263" s="35" t="s">
        <v>114</v>
      </c>
      <c r="H263" s="35" t="s">
        <v>109</v>
      </c>
      <c r="I263" s="38">
        <v>29200</v>
      </c>
      <c r="J263" s="38">
        <v>73500</v>
      </c>
      <c r="K263" s="35" t="s">
        <v>49</v>
      </c>
      <c r="L263" s="37">
        <v>2</v>
      </c>
      <c r="M263" s="38">
        <v>33000</v>
      </c>
      <c r="N263" s="35" t="str">
        <f t="shared" si="9"/>
        <v>Baixo</v>
      </c>
      <c r="O263" s="35" t="str">
        <f t="shared" si="7"/>
        <v>Passa</v>
      </c>
      <c r="P263" s="35" t="str">
        <f t="shared" si="10"/>
        <v>Passa</v>
      </c>
      <c r="Q263" s="38">
        <f>IF(AND(O263="Negada",P263="Negada"),0,IF(A263="Ativo",M263*0.08,0))</f>
        <v>2640</v>
      </c>
    </row>
    <row r="264" spans="1:17" ht="15.75" customHeight="1">
      <c r="A264" s="35" t="s">
        <v>77</v>
      </c>
      <c r="B264" s="35" t="s">
        <v>606</v>
      </c>
      <c r="C264" s="35" t="s">
        <v>607</v>
      </c>
      <c r="D264" s="35" t="str">
        <f t="shared" si="8"/>
        <v>000.000.112-00</v>
      </c>
      <c r="E264" s="36">
        <v>22314</v>
      </c>
      <c r="F264" s="37">
        <v>65</v>
      </c>
      <c r="G264" s="35" t="s">
        <v>84</v>
      </c>
      <c r="H264" s="35" t="s">
        <v>85</v>
      </c>
      <c r="I264" s="38">
        <v>6100</v>
      </c>
      <c r="J264" s="38">
        <v>40000</v>
      </c>
      <c r="K264" s="35" t="s">
        <v>49</v>
      </c>
      <c r="L264" s="37">
        <v>13</v>
      </c>
      <c r="M264" s="38">
        <v>22500</v>
      </c>
      <c r="N264" s="35" t="str">
        <f t="shared" si="9"/>
        <v>Médio</v>
      </c>
      <c r="O264" s="35" t="str">
        <f t="shared" si="7"/>
        <v>Passa</v>
      </c>
      <c r="P264" s="35" t="str">
        <f t="shared" si="10"/>
        <v>Passa</v>
      </c>
      <c r="Q264" s="38">
        <f>IF(AND(O264="Negada",P264="Negada"),0,IF(A264="Ativo",M264*0.08,0))</f>
        <v>1800</v>
      </c>
    </row>
    <row r="265" spans="1:17" ht="15.75" customHeight="1">
      <c r="A265" s="35" t="s">
        <v>77</v>
      </c>
      <c r="B265" s="35" t="s">
        <v>608</v>
      </c>
      <c r="C265" s="35" t="s">
        <v>609</v>
      </c>
      <c r="D265" s="35" t="str">
        <f t="shared" si="8"/>
        <v>000.000.130-00</v>
      </c>
      <c r="E265" s="36">
        <v>22297</v>
      </c>
      <c r="F265" s="37">
        <v>65</v>
      </c>
      <c r="G265" s="35" t="s">
        <v>98</v>
      </c>
      <c r="H265" s="35" t="s">
        <v>99</v>
      </c>
      <c r="I265" s="38">
        <v>27300</v>
      </c>
      <c r="J265" s="38">
        <v>48500</v>
      </c>
      <c r="K265" s="35" t="s">
        <v>49</v>
      </c>
      <c r="L265" s="37">
        <v>29</v>
      </c>
      <c r="M265" s="38">
        <v>94000</v>
      </c>
      <c r="N265" s="35" t="str">
        <f t="shared" si="9"/>
        <v>Alto</v>
      </c>
      <c r="O265" s="35" t="str">
        <f t="shared" si="7"/>
        <v>Passa</v>
      </c>
      <c r="P265" s="35" t="str">
        <f t="shared" si="10"/>
        <v>Passa</v>
      </c>
      <c r="Q265" s="38">
        <f>IF(AND(O265="Negada",P265="Negada"),0,IF(A265="Ativo",M265*0.08,0))</f>
        <v>7520</v>
      </c>
    </row>
    <row r="266" spans="1:17" ht="15.75" customHeight="1">
      <c r="A266" s="35" t="s">
        <v>77</v>
      </c>
      <c r="B266" s="35" t="s">
        <v>610</v>
      </c>
      <c r="C266" s="35" t="s">
        <v>611</v>
      </c>
      <c r="D266" s="35" t="str">
        <f t="shared" si="8"/>
        <v>000.000.315-00</v>
      </c>
      <c r="E266" s="36">
        <v>25350</v>
      </c>
      <c r="F266" s="37">
        <v>57</v>
      </c>
      <c r="G266" s="35" t="s">
        <v>151</v>
      </c>
      <c r="H266" s="35" t="s">
        <v>124</v>
      </c>
      <c r="I266" s="38">
        <v>20600</v>
      </c>
      <c r="J266" s="38">
        <v>52500</v>
      </c>
      <c r="K266" s="35"/>
      <c r="L266" s="37">
        <v>16</v>
      </c>
      <c r="M266" s="38">
        <v>97000</v>
      </c>
      <c r="N266" s="35" t="str">
        <f t="shared" si="9"/>
        <v>Médio</v>
      </c>
      <c r="O266" s="35" t="str">
        <f t="shared" si="7"/>
        <v>Passa</v>
      </c>
      <c r="P266" s="35" t="str">
        <f t="shared" si="10"/>
        <v>Passa</v>
      </c>
      <c r="Q266" s="38">
        <f>IF(AND(O266="Negada",P266="Negada"),0,IF(A266="Ativo",M266*0.08,0))</f>
        <v>7760</v>
      </c>
    </row>
    <row r="267" spans="1:17" ht="15.75" customHeight="1">
      <c r="A267" s="35" t="s">
        <v>77</v>
      </c>
      <c r="B267" s="35" t="s">
        <v>612</v>
      </c>
      <c r="C267" s="35" t="s">
        <v>613</v>
      </c>
      <c r="D267" s="35" t="str">
        <f t="shared" si="8"/>
        <v>000.000.028-00</v>
      </c>
      <c r="E267" s="36">
        <v>37470</v>
      </c>
      <c r="F267" s="37">
        <v>24</v>
      </c>
      <c r="G267" s="35" t="s">
        <v>269</v>
      </c>
      <c r="H267" s="35" t="s">
        <v>85</v>
      </c>
      <c r="I267" s="38">
        <v>16900</v>
      </c>
      <c r="J267" s="38">
        <v>42500</v>
      </c>
      <c r="K267" s="35" t="s">
        <v>50</v>
      </c>
      <c r="L267" s="37">
        <v>26</v>
      </c>
      <c r="M267" s="38">
        <v>12500</v>
      </c>
      <c r="N267" s="35" t="str">
        <f t="shared" si="9"/>
        <v>Alto</v>
      </c>
      <c r="O267" s="35" t="str">
        <f t="shared" si="7"/>
        <v>Negada</v>
      </c>
      <c r="P267" s="35" t="str">
        <f t="shared" si="10"/>
        <v>Passa</v>
      </c>
      <c r="Q267" s="38">
        <f>IF(AND(O267="Negada",P267="Negada"),0,IF(A267="Ativo",M267*0.08,0))</f>
        <v>1000</v>
      </c>
    </row>
    <row r="268" spans="1:17" ht="15.75" customHeight="1">
      <c r="A268" s="35" t="s">
        <v>82</v>
      </c>
      <c r="B268" s="35" t="s">
        <v>614</v>
      </c>
      <c r="C268" s="35" t="s">
        <v>615</v>
      </c>
      <c r="D268" s="35" t="str">
        <f t="shared" si="8"/>
        <v>000.000.238-00</v>
      </c>
      <c r="E268" s="36">
        <v>25848</v>
      </c>
      <c r="F268" s="37">
        <v>55</v>
      </c>
      <c r="G268" s="35" t="s">
        <v>108</v>
      </c>
      <c r="H268" s="35" t="s">
        <v>109</v>
      </c>
      <c r="I268" s="38"/>
      <c r="J268" s="38">
        <v>5000</v>
      </c>
      <c r="K268" s="35" t="s">
        <v>49</v>
      </c>
      <c r="L268" s="37">
        <v>8</v>
      </c>
      <c r="M268" s="38">
        <v>11000</v>
      </c>
      <c r="N268" s="35" t="str">
        <f t="shared" si="9"/>
        <v>Baixo</v>
      </c>
      <c r="O268" s="35" t="str">
        <f t="shared" si="7"/>
        <v>Passa</v>
      </c>
      <c r="P268" s="35" t="str">
        <f t="shared" si="10"/>
        <v>Passa</v>
      </c>
      <c r="Q268" s="38">
        <f>IF(AND(O268="Negada",P268="Negada"),0,IF(A268="Ativo",M268*0.08,0))</f>
        <v>0</v>
      </c>
    </row>
    <row r="269" spans="1:17" ht="15.75" customHeight="1">
      <c r="A269" s="35" t="s">
        <v>77</v>
      </c>
      <c r="B269" s="35" t="s">
        <v>571</v>
      </c>
      <c r="C269" s="35" t="s">
        <v>616</v>
      </c>
      <c r="D269" s="35" t="str">
        <f t="shared" si="8"/>
        <v>000.000.374-00</v>
      </c>
      <c r="E269" s="36">
        <v>21573</v>
      </c>
      <c r="F269" s="37">
        <v>67</v>
      </c>
      <c r="G269" s="35" t="s">
        <v>215</v>
      </c>
      <c r="H269" s="35" t="s">
        <v>216</v>
      </c>
      <c r="I269" s="38">
        <v>6400</v>
      </c>
      <c r="J269" s="38">
        <v>1000</v>
      </c>
      <c r="K269" s="35" t="s">
        <v>49</v>
      </c>
      <c r="L269" s="37">
        <v>27</v>
      </c>
      <c r="M269" s="38">
        <v>50000</v>
      </c>
      <c r="N269" s="35" t="str">
        <f t="shared" si="9"/>
        <v>Alto</v>
      </c>
      <c r="O269" s="35" t="str">
        <f t="shared" si="7"/>
        <v>Passa</v>
      </c>
      <c r="P269" s="35" t="str">
        <f t="shared" si="10"/>
        <v>Passa</v>
      </c>
      <c r="Q269" s="38">
        <f>IF(AND(O269="Negada",P269="Negada"),0,IF(A269="Ativo",M269*0.08,0))</f>
        <v>4000</v>
      </c>
    </row>
    <row r="270" spans="1:17" ht="15.75" customHeight="1">
      <c r="A270" s="35" t="s">
        <v>77</v>
      </c>
      <c r="B270" s="35" t="s">
        <v>617</v>
      </c>
      <c r="C270" s="35" t="s">
        <v>618</v>
      </c>
      <c r="D270" s="35" t="str">
        <f t="shared" si="8"/>
        <v>000.000.156-00</v>
      </c>
      <c r="E270" s="36">
        <v>29843</v>
      </c>
      <c r="F270" s="37">
        <v>44</v>
      </c>
      <c r="G270" s="35" t="s">
        <v>88</v>
      </c>
      <c r="H270" s="35" t="s">
        <v>89</v>
      </c>
      <c r="I270" s="38">
        <v>11300</v>
      </c>
      <c r="J270" s="38">
        <v>55000</v>
      </c>
      <c r="K270" s="35" t="s">
        <v>49</v>
      </c>
      <c r="L270" s="37">
        <v>38</v>
      </c>
      <c r="M270" s="38">
        <v>68500</v>
      </c>
      <c r="N270" s="35" t="str">
        <f t="shared" si="9"/>
        <v>Alto</v>
      </c>
      <c r="O270" s="35" t="str">
        <f t="shared" si="7"/>
        <v>Passa</v>
      </c>
      <c r="P270" s="35" t="str">
        <f t="shared" si="10"/>
        <v>Passa</v>
      </c>
      <c r="Q270" s="38">
        <f>IF(AND(O270="Negada",P270="Negada"),0,IF(A270="Ativo",M270*0.08,0))</f>
        <v>5480</v>
      </c>
    </row>
    <row r="271" spans="1:17" ht="15.75" customHeight="1">
      <c r="A271" s="35" t="s">
        <v>77</v>
      </c>
      <c r="B271" s="35" t="s">
        <v>619</v>
      </c>
      <c r="C271" s="35" t="s">
        <v>620</v>
      </c>
      <c r="D271" s="35" t="str">
        <f t="shared" si="8"/>
        <v>000.000.110-00</v>
      </c>
      <c r="E271" s="36">
        <v>34070</v>
      </c>
      <c r="F271" s="37">
        <v>33</v>
      </c>
      <c r="G271" s="35" t="s">
        <v>269</v>
      </c>
      <c r="H271" s="35" t="s">
        <v>85</v>
      </c>
      <c r="I271" s="38">
        <v>29300</v>
      </c>
      <c r="J271" s="38">
        <v>69000</v>
      </c>
      <c r="K271" s="35" t="s">
        <v>50</v>
      </c>
      <c r="L271" s="37">
        <v>0</v>
      </c>
      <c r="M271" s="38">
        <v>4500</v>
      </c>
      <c r="N271" s="35" t="str">
        <f t="shared" si="9"/>
        <v>Baixo</v>
      </c>
      <c r="O271" s="35" t="str">
        <f t="shared" si="7"/>
        <v>Passa</v>
      </c>
      <c r="P271" s="35" t="str">
        <f t="shared" si="10"/>
        <v>Negada</v>
      </c>
      <c r="Q271" s="38">
        <f>IF(AND(O271="Negada",P271="Negada"),0,IF(A271="Ativo",M271*0.08,0))</f>
        <v>360</v>
      </c>
    </row>
    <row r="272" spans="1:17" ht="15.75" customHeight="1">
      <c r="A272" s="35" t="s">
        <v>77</v>
      </c>
      <c r="B272" s="35" t="s">
        <v>621</v>
      </c>
      <c r="C272" s="35" t="s">
        <v>622</v>
      </c>
      <c r="D272" s="35" t="str">
        <f t="shared" si="8"/>
        <v>000.000.153-00</v>
      </c>
      <c r="E272" s="36">
        <v>37394</v>
      </c>
      <c r="F272" s="37">
        <v>24</v>
      </c>
      <c r="G272" s="35" t="s">
        <v>98</v>
      </c>
      <c r="H272" s="35" t="s">
        <v>99</v>
      </c>
      <c r="I272" s="38">
        <v>14200</v>
      </c>
      <c r="J272" s="38">
        <v>71000</v>
      </c>
      <c r="K272" s="35" t="s">
        <v>49</v>
      </c>
      <c r="L272" s="37">
        <v>10</v>
      </c>
      <c r="M272" s="38">
        <v>91500</v>
      </c>
      <c r="N272" s="35" t="str">
        <f t="shared" si="9"/>
        <v>Baixo</v>
      </c>
      <c r="O272" s="35" t="str">
        <f t="shared" si="7"/>
        <v>Passa</v>
      </c>
      <c r="P272" s="35" t="str">
        <f t="shared" si="10"/>
        <v>Passa</v>
      </c>
      <c r="Q272" s="38">
        <f>IF(AND(O272="Negada",P272="Negada"),0,IF(A272="Ativo",M272*0.08,0))</f>
        <v>7320</v>
      </c>
    </row>
    <row r="273" spans="1:17" ht="15.75" customHeight="1">
      <c r="A273" s="35" t="s">
        <v>77</v>
      </c>
      <c r="B273" s="35" t="s">
        <v>623</v>
      </c>
      <c r="C273" s="35" t="s">
        <v>624</v>
      </c>
      <c r="D273" s="35" t="str">
        <f t="shared" si="8"/>
        <v>000.000.319-00</v>
      </c>
      <c r="E273" s="36">
        <v>38678</v>
      </c>
      <c r="F273" s="37">
        <v>20</v>
      </c>
      <c r="G273" s="35" t="s">
        <v>114</v>
      </c>
      <c r="H273" s="35" t="s">
        <v>109</v>
      </c>
      <c r="I273" s="38">
        <v>9300</v>
      </c>
      <c r="J273" s="38">
        <v>35000</v>
      </c>
      <c r="K273" s="35" t="s">
        <v>49</v>
      </c>
      <c r="L273" s="37">
        <v>5</v>
      </c>
      <c r="M273" s="38">
        <v>10500</v>
      </c>
      <c r="N273" s="35" t="str">
        <f t="shared" si="9"/>
        <v>Baixo</v>
      </c>
      <c r="O273" s="35" t="str">
        <f t="shared" si="7"/>
        <v>Passa</v>
      </c>
      <c r="P273" s="35" t="str">
        <f t="shared" si="10"/>
        <v>Passa</v>
      </c>
      <c r="Q273" s="38">
        <f>IF(AND(O273="Negada",P273="Negada"),0,IF(A273="Ativo",M273*0.08,0))</f>
        <v>840</v>
      </c>
    </row>
    <row r="274" spans="1:17" ht="15.75" customHeight="1">
      <c r="A274" s="35" t="s">
        <v>82</v>
      </c>
      <c r="B274" s="35" t="s">
        <v>625</v>
      </c>
      <c r="C274" s="35" t="s">
        <v>626</v>
      </c>
      <c r="D274" s="35" t="str">
        <f t="shared" si="8"/>
        <v>000.000.106-00</v>
      </c>
      <c r="E274" s="36">
        <v>38704</v>
      </c>
      <c r="F274" s="37">
        <v>20</v>
      </c>
      <c r="G274" s="35" t="s">
        <v>269</v>
      </c>
      <c r="H274" s="35" t="s">
        <v>85</v>
      </c>
      <c r="I274" s="38">
        <v>12900</v>
      </c>
      <c r="J274" s="38">
        <v>26500</v>
      </c>
      <c r="K274" s="35" t="s">
        <v>49</v>
      </c>
      <c r="L274" s="37">
        <v>13</v>
      </c>
      <c r="M274" s="38">
        <v>2000</v>
      </c>
      <c r="N274" s="35" t="str">
        <f t="shared" si="9"/>
        <v>Médio</v>
      </c>
      <c r="O274" s="35" t="str">
        <f t="shared" si="7"/>
        <v>Passa</v>
      </c>
      <c r="P274" s="35" t="str">
        <f t="shared" si="10"/>
        <v>Passa</v>
      </c>
      <c r="Q274" s="38">
        <f>IF(AND(O274="Negada",P274="Negada"),0,IF(A274="Ativo",M274*0.08,0))</f>
        <v>0</v>
      </c>
    </row>
    <row r="275" spans="1:17" ht="15.75" customHeight="1">
      <c r="A275" s="35" t="s">
        <v>77</v>
      </c>
      <c r="B275" s="35" t="s">
        <v>627</v>
      </c>
      <c r="C275" s="35" t="s">
        <v>628</v>
      </c>
      <c r="D275" s="35" t="str">
        <f t="shared" si="8"/>
        <v>000.000.055-00</v>
      </c>
      <c r="E275" s="36">
        <v>36337</v>
      </c>
      <c r="F275" s="37">
        <v>27</v>
      </c>
      <c r="G275" s="35" t="s">
        <v>153</v>
      </c>
      <c r="H275" s="35" t="s">
        <v>128</v>
      </c>
      <c r="I275" s="38">
        <v>22500</v>
      </c>
      <c r="J275" s="38">
        <v>55500</v>
      </c>
      <c r="K275" s="35" t="s">
        <v>49</v>
      </c>
      <c r="L275" s="37">
        <v>32</v>
      </c>
      <c r="M275" s="38">
        <v>91500</v>
      </c>
      <c r="N275" s="35" t="str">
        <f t="shared" si="9"/>
        <v>Alto</v>
      </c>
      <c r="O275" s="35" t="str">
        <f t="shared" si="7"/>
        <v>Passa</v>
      </c>
      <c r="P275" s="35" t="str">
        <f t="shared" si="10"/>
        <v>Passa</v>
      </c>
      <c r="Q275" s="38">
        <f>IF(AND(O275="Negada",P275="Negada"),0,IF(A275="Ativo",M275*0.08,0))</f>
        <v>7320</v>
      </c>
    </row>
    <row r="276" spans="1:17" ht="15.75" customHeight="1">
      <c r="A276" s="35" t="s">
        <v>77</v>
      </c>
      <c r="B276" s="35" t="s">
        <v>629</v>
      </c>
      <c r="C276" s="35" t="s">
        <v>630</v>
      </c>
      <c r="D276" s="35" t="str">
        <f t="shared" si="8"/>
        <v>000.000.295-00</v>
      </c>
      <c r="E276" s="36">
        <v>21079</v>
      </c>
      <c r="F276" s="37">
        <v>68</v>
      </c>
      <c r="G276" s="35" t="s">
        <v>215</v>
      </c>
      <c r="H276" s="35" t="s">
        <v>216</v>
      </c>
      <c r="I276" s="38">
        <v>3600</v>
      </c>
      <c r="J276" s="38">
        <v>64500</v>
      </c>
      <c r="K276" s="35" t="s">
        <v>50</v>
      </c>
      <c r="L276" s="37">
        <v>32</v>
      </c>
      <c r="M276" s="38">
        <v>35500</v>
      </c>
      <c r="N276" s="35" t="str">
        <f t="shared" si="9"/>
        <v>Alto</v>
      </c>
      <c r="O276" s="35" t="str">
        <f t="shared" si="7"/>
        <v>Negada</v>
      </c>
      <c r="P276" s="35" t="str">
        <f t="shared" si="10"/>
        <v>Negada</v>
      </c>
      <c r="Q276" s="38">
        <f>IF(AND(O276="Negada",P276="Negada"),0,IF(A276="Ativo",M276*0.08,0))</f>
        <v>0</v>
      </c>
    </row>
    <row r="277" spans="1:17" ht="15.75" customHeight="1">
      <c r="A277" s="35" t="s">
        <v>77</v>
      </c>
      <c r="B277" s="35" t="s">
        <v>479</v>
      </c>
      <c r="C277" s="35" t="s">
        <v>631</v>
      </c>
      <c r="D277" s="35" t="str">
        <f t="shared" si="8"/>
        <v>000.000.339-00</v>
      </c>
      <c r="E277" s="36">
        <v>26558</v>
      </c>
      <c r="F277" s="37">
        <v>53</v>
      </c>
      <c r="G277" s="35" t="s">
        <v>88</v>
      </c>
      <c r="H277" s="35" t="s">
        <v>89</v>
      </c>
      <c r="I277" s="38">
        <v>15500</v>
      </c>
      <c r="J277" s="38"/>
      <c r="K277" s="35" t="s">
        <v>49</v>
      </c>
      <c r="L277" s="37">
        <v>16</v>
      </c>
      <c r="M277" s="38">
        <v>41000</v>
      </c>
      <c r="N277" s="35" t="str">
        <f t="shared" si="9"/>
        <v>Médio</v>
      </c>
      <c r="O277" s="35" t="str">
        <f t="shared" si="7"/>
        <v>Passa</v>
      </c>
      <c r="P277" s="35" t="str">
        <f t="shared" si="10"/>
        <v>Passa</v>
      </c>
      <c r="Q277" s="38">
        <f>IF(AND(O277="Negada",P277="Negada"),0,IF(A277="Ativo",M277*0.08,0))</f>
        <v>3280</v>
      </c>
    </row>
    <row r="278" spans="1:17" ht="15.75" customHeight="1">
      <c r="A278" s="35" t="s">
        <v>77</v>
      </c>
      <c r="B278" s="35" t="s">
        <v>632</v>
      </c>
      <c r="C278" s="35" t="s">
        <v>633</v>
      </c>
      <c r="D278" s="35" t="str">
        <f t="shared" si="8"/>
        <v>000.000.058-00</v>
      </c>
      <c r="E278" s="36"/>
      <c r="F278" s="37">
        <v>62</v>
      </c>
      <c r="G278" s="35" t="s">
        <v>156</v>
      </c>
      <c r="H278" s="35" t="s">
        <v>134</v>
      </c>
      <c r="I278" s="38">
        <v>1900</v>
      </c>
      <c r="J278" s="38">
        <v>3500</v>
      </c>
      <c r="K278" s="35" t="s">
        <v>49</v>
      </c>
      <c r="L278" s="37">
        <v>19</v>
      </c>
      <c r="M278" s="38">
        <v>62000</v>
      </c>
      <c r="N278" s="35" t="str">
        <f t="shared" si="9"/>
        <v>Médio</v>
      </c>
      <c r="O278" s="35" t="str">
        <f t="shared" si="7"/>
        <v>Passa</v>
      </c>
      <c r="P278" s="35" t="str">
        <f t="shared" si="10"/>
        <v>Passa</v>
      </c>
      <c r="Q278" s="38">
        <f>IF(AND(O278="Negada",P278="Negada"),0,IF(A278="Ativo",M278*0.08,0))</f>
        <v>4960</v>
      </c>
    </row>
    <row r="279" spans="1:17" ht="15.75" customHeight="1">
      <c r="A279" s="35" t="s">
        <v>77</v>
      </c>
      <c r="B279" s="35" t="s">
        <v>634</v>
      </c>
      <c r="C279" s="35" t="s">
        <v>635</v>
      </c>
      <c r="D279" s="35" t="str">
        <f t="shared" si="8"/>
        <v>000.000.095-00</v>
      </c>
      <c r="E279" s="36">
        <v>23964</v>
      </c>
      <c r="F279" s="37">
        <v>61</v>
      </c>
      <c r="G279" s="35" t="s">
        <v>139</v>
      </c>
      <c r="H279" s="35" t="s">
        <v>128</v>
      </c>
      <c r="I279" s="38">
        <v>7000</v>
      </c>
      <c r="J279" s="38">
        <v>1500</v>
      </c>
      <c r="K279" s="35" t="s">
        <v>50</v>
      </c>
      <c r="L279" s="37">
        <v>32</v>
      </c>
      <c r="M279" s="38">
        <v>53000</v>
      </c>
      <c r="N279" s="35" t="str">
        <f t="shared" si="9"/>
        <v>Alto</v>
      </c>
      <c r="O279" s="35" t="str">
        <f t="shared" si="7"/>
        <v>Negada</v>
      </c>
      <c r="P279" s="35" t="str">
        <f t="shared" si="10"/>
        <v>Passa</v>
      </c>
      <c r="Q279" s="38">
        <f>IF(AND(O279="Negada",P279="Negada"),0,IF(A279="Ativo",M279*0.08,0))</f>
        <v>4240</v>
      </c>
    </row>
    <row r="280" spans="1:17" ht="15.75" customHeight="1">
      <c r="A280" s="35" t="s">
        <v>77</v>
      </c>
      <c r="B280" s="35" t="s">
        <v>636</v>
      </c>
      <c r="C280" s="35" t="s">
        <v>637</v>
      </c>
      <c r="D280" s="35" t="str">
        <f t="shared" si="8"/>
        <v>000.000.105-00</v>
      </c>
      <c r="E280" s="36">
        <v>37118</v>
      </c>
      <c r="F280" s="37">
        <v>25</v>
      </c>
      <c r="G280" s="35" t="s">
        <v>156</v>
      </c>
      <c r="H280" s="35" t="s">
        <v>134</v>
      </c>
      <c r="I280" s="38">
        <v>27300</v>
      </c>
      <c r="J280" s="38">
        <v>1500</v>
      </c>
      <c r="K280" s="35" t="s">
        <v>50</v>
      </c>
      <c r="L280" s="37">
        <v>33</v>
      </c>
      <c r="M280" s="38">
        <v>14000</v>
      </c>
      <c r="N280" s="35" t="str">
        <f t="shared" si="9"/>
        <v>Alto</v>
      </c>
      <c r="O280" s="35" t="str">
        <f t="shared" si="7"/>
        <v>Negada</v>
      </c>
      <c r="P280" s="35" t="str">
        <f t="shared" si="10"/>
        <v>Passa</v>
      </c>
      <c r="Q280" s="38">
        <f>IF(AND(O280="Negada",P280="Negada"),0,IF(A280="Ativo",M280*0.08,0))</f>
        <v>1120</v>
      </c>
    </row>
    <row r="281" spans="1:17" ht="15.75" customHeight="1">
      <c r="A281" s="35" t="s">
        <v>77</v>
      </c>
      <c r="B281" s="35" t="s">
        <v>638</v>
      </c>
      <c r="C281" s="35" t="s">
        <v>639</v>
      </c>
      <c r="D281" s="35" t="str">
        <f t="shared" si="8"/>
        <v>000.000.208-00</v>
      </c>
      <c r="E281" s="36">
        <v>27088</v>
      </c>
      <c r="F281" s="37">
        <v>52</v>
      </c>
      <c r="G281" s="35" t="s">
        <v>84</v>
      </c>
      <c r="H281" s="35" t="s">
        <v>85</v>
      </c>
      <c r="I281" s="38">
        <v>24900</v>
      </c>
      <c r="J281" s="38">
        <v>0</v>
      </c>
      <c r="K281" s="35" t="s">
        <v>49</v>
      </c>
      <c r="L281" s="37">
        <v>24</v>
      </c>
      <c r="M281" s="38">
        <v>16000</v>
      </c>
      <c r="N281" s="35" t="str">
        <f t="shared" si="9"/>
        <v>Médio</v>
      </c>
      <c r="O281" s="35" t="str">
        <f t="shared" si="7"/>
        <v>Passa</v>
      </c>
      <c r="P281" s="35" t="str">
        <f t="shared" si="10"/>
        <v>Passa</v>
      </c>
      <c r="Q281" s="38">
        <f>IF(AND(O281="Negada",P281="Negada"),0,IF(A281="Ativo",M281*0.08,0))</f>
        <v>1280</v>
      </c>
    </row>
    <row r="282" spans="1:17" ht="15.75" customHeight="1">
      <c r="A282" s="35" t="s">
        <v>82</v>
      </c>
      <c r="B282" s="35" t="s">
        <v>640</v>
      </c>
      <c r="C282" s="35" t="s">
        <v>641</v>
      </c>
      <c r="D282" s="35" t="str">
        <f t="shared" si="8"/>
        <v>000.000.263-00</v>
      </c>
      <c r="E282" s="36">
        <v>33989</v>
      </c>
      <c r="F282" s="37">
        <v>33</v>
      </c>
      <c r="G282" s="35" t="s">
        <v>197</v>
      </c>
      <c r="H282" s="35" t="s">
        <v>89</v>
      </c>
      <c r="I282" s="38">
        <v>23400</v>
      </c>
      <c r="J282" s="38">
        <v>59000</v>
      </c>
      <c r="K282" s="35" t="s">
        <v>50</v>
      </c>
      <c r="L282" s="37">
        <v>35</v>
      </c>
      <c r="M282" s="38">
        <v>39000</v>
      </c>
      <c r="N282" s="35" t="str">
        <f t="shared" si="9"/>
        <v>Alto</v>
      </c>
      <c r="O282" s="35" t="str">
        <f t="shared" si="7"/>
        <v>Negada</v>
      </c>
      <c r="P282" s="35" t="str">
        <f t="shared" si="10"/>
        <v>Negada</v>
      </c>
      <c r="Q282" s="38">
        <f>IF(AND(O282="Negada",P282="Negada"),0,IF(A282="Ativo",M282*0.08,0))</f>
        <v>0</v>
      </c>
    </row>
    <row r="283" spans="1:17" ht="15.75" customHeight="1">
      <c r="A283" s="35" t="s">
        <v>82</v>
      </c>
      <c r="B283" s="35" t="s">
        <v>642</v>
      </c>
      <c r="C283" s="35" t="s">
        <v>643</v>
      </c>
      <c r="D283" s="35" t="str">
        <f t="shared" si="8"/>
        <v>000.000.229-00</v>
      </c>
      <c r="E283" s="36">
        <v>28737</v>
      </c>
      <c r="F283" s="37">
        <v>48</v>
      </c>
      <c r="G283" s="35" t="s">
        <v>197</v>
      </c>
      <c r="H283" s="35" t="s">
        <v>89</v>
      </c>
      <c r="I283" s="38">
        <v>12400</v>
      </c>
      <c r="J283" s="38">
        <v>0</v>
      </c>
      <c r="K283" s="35" t="s">
        <v>49</v>
      </c>
      <c r="L283" s="37">
        <v>25</v>
      </c>
      <c r="M283" s="38">
        <v>65500</v>
      </c>
      <c r="N283" s="35" t="str">
        <f t="shared" si="9"/>
        <v>Médio</v>
      </c>
      <c r="O283" s="35" t="str">
        <f t="shared" si="7"/>
        <v>Passa</v>
      </c>
      <c r="P283" s="35" t="str">
        <f t="shared" si="10"/>
        <v>Passa</v>
      </c>
      <c r="Q283" s="38">
        <f>IF(AND(O283="Negada",P283="Negada"),0,IF(A283="Ativo",M283*0.08,0))</f>
        <v>0</v>
      </c>
    </row>
    <row r="284" spans="1:17" ht="15.75" customHeight="1">
      <c r="A284" s="35" t="s">
        <v>82</v>
      </c>
      <c r="B284" s="35" t="s">
        <v>644</v>
      </c>
      <c r="C284" s="35" t="s">
        <v>645</v>
      </c>
      <c r="D284" s="35" t="str">
        <f t="shared" si="8"/>
        <v>000.000.015-00</v>
      </c>
      <c r="E284" s="36">
        <v>26142</v>
      </c>
      <c r="F284" s="37">
        <v>55</v>
      </c>
      <c r="G284" s="35" t="s">
        <v>80</v>
      </c>
      <c r="H284" s="35" t="s">
        <v>81</v>
      </c>
      <c r="I284" s="38">
        <v>29700</v>
      </c>
      <c r="J284" s="38">
        <v>78000</v>
      </c>
      <c r="K284" s="35" t="s">
        <v>50</v>
      </c>
      <c r="L284" s="37">
        <v>14</v>
      </c>
      <c r="M284" s="38">
        <v>27000</v>
      </c>
      <c r="N284" s="35" t="str">
        <f t="shared" si="9"/>
        <v>Médio</v>
      </c>
      <c r="O284" s="35" t="str">
        <f t="shared" si="7"/>
        <v>Passa</v>
      </c>
      <c r="P284" s="35" t="str">
        <f t="shared" si="10"/>
        <v>Negada</v>
      </c>
      <c r="Q284" s="38">
        <f>IF(AND(O284="Negada",P284="Negada"),0,IF(A284="Ativo",M284*0.08,0))</f>
        <v>0</v>
      </c>
    </row>
    <row r="285" spans="1:17" ht="15.75" customHeight="1">
      <c r="A285" s="35" t="s">
        <v>77</v>
      </c>
      <c r="B285" s="35" t="s">
        <v>646</v>
      </c>
      <c r="C285" s="35" t="s">
        <v>647</v>
      </c>
      <c r="D285" s="35" t="str">
        <f t="shared" si="8"/>
        <v>000.000.232-00</v>
      </c>
      <c r="E285" s="36"/>
      <c r="F285" s="37">
        <v>28</v>
      </c>
      <c r="G285" s="35" t="s">
        <v>114</v>
      </c>
      <c r="H285" s="35" t="s">
        <v>109</v>
      </c>
      <c r="I285" s="38">
        <v>14500</v>
      </c>
      <c r="J285" s="38">
        <v>39500</v>
      </c>
      <c r="K285" s="35" t="s">
        <v>49</v>
      </c>
      <c r="L285" s="37">
        <v>18</v>
      </c>
      <c r="M285" s="38">
        <v>32000</v>
      </c>
      <c r="N285" s="35" t="str">
        <f t="shared" si="9"/>
        <v>Médio</v>
      </c>
      <c r="O285" s="35" t="str">
        <f t="shared" si="7"/>
        <v>Passa</v>
      </c>
      <c r="P285" s="35" t="str">
        <f t="shared" si="10"/>
        <v>Passa</v>
      </c>
      <c r="Q285" s="38">
        <f>IF(AND(O285="Negada",P285="Negada"),0,IF(A285="Ativo",M285*0.08,0))</f>
        <v>2560</v>
      </c>
    </row>
    <row r="286" spans="1:17" ht="15.75" customHeight="1">
      <c r="A286" s="35" t="s">
        <v>77</v>
      </c>
      <c r="B286" s="35" t="s">
        <v>648</v>
      </c>
      <c r="C286" s="35" t="s">
        <v>649</v>
      </c>
      <c r="D286" s="35" t="str">
        <f t="shared" si="8"/>
        <v>000.000.147-00</v>
      </c>
      <c r="E286" s="36">
        <v>26921</v>
      </c>
      <c r="F286" s="37">
        <v>52</v>
      </c>
      <c r="G286" s="35" t="s">
        <v>139</v>
      </c>
      <c r="H286" s="35" t="s">
        <v>128</v>
      </c>
      <c r="I286" s="38">
        <v>7300</v>
      </c>
      <c r="J286" s="38">
        <v>74000</v>
      </c>
      <c r="K286" s="35" t="s">
        <v>49</v>
      </c>
      <c r="L286" s="37">
        <v>40</v>
      </c>
      <c r="M286" s="38">
        <v>34500</v>
      </c>
      <c r="N286" s="35" t="str">
        <f t="shared" si="9"/>
        <v>Alto</v>
      </c>
      <c r="O286" s="35" t="str">
        <f t="shared" si="7"/>
        <v>Passa</v>
      </c>
      <c r="P286" s="35" t="str">
        <f t="shared" si="10"/>
        <v>Passa</v>
      </c>
      <c r="Q286" s="38">
        <f>IF(AND(O286="Negada",P286="Negada"),0,IF(A286="Ativo",M286*0.08,0))</f>
        <v>2760</v>
      </c>
    </row>
    <row r="287" spans="1:17" ht="15.75" customHeight="1">
      <c r="A287" s="35" t="s">
        <v>77</v>
      </c>
      <c r="B287" s="35" t="s">
        <v>650</v>
      </c>
      <c r="C287" s="35" t="s">
        <v>651</v>
      </c>
      <c r="D287" s="35" t="str">
        <f t="shared" si="8"/>
        <v>000.000.062-00</v>
      </c>
      <c r="E287" s="36">
        <v>23006</v>
      </c>
      <c r="F287" s="37">
        <v>63</v>
      </c>
      <c r="G287" s="35" t="s">
        <v>127</v>
      </c>
      <c r="H287" s="35" t="s">
        <v>128</v>
      </c>
      <c r="I287" s="38">
        <v>11200</v>
      </c>
      <c r="J287" s="38"/>
      <c r="K287" s="35"/>
      <c r="L287" s="37">
        <v>41</v>
      </c>
      <c r="M287" s="38">
        <v>83500</v>
      </c>
      <c r="N287" s="35" t="str">
        <f t="shared" si="9"/>
        <v>Alto</v>
      </c>
      <c r="O287" s="35" t="str">
        <f t="shared" si="7"/>
        <v>Passa</v>
      </c>
      <c r="P287" s="35" t="str">
        <f t="shared" si="10"/>
        <v>Passa</v>
      </c>
      <c r="Q287" s="38">
        <f>IF(AND(O287="Negada",P287="Negada"),0,IF(A287="Ativo",M287*0.08,0))</f>
        <v>6680</v>
      </c>
    </row>
    <row r="288" spans="1:17" ht="15.75" customHeight="1">
      <c r="A288" s="35" t="s">
        <v>77</v>
      </c>
      <c r="B288" s="35" t="s">
        <v>652</v>
      </c>
      <c r="C288" s="35" t="s">
        <v>653</v>
      </c>
      <c r="D288" s="35" t="str">
        <f t="shared" si="8"/>
        <v>000.000.202-00</v>
      </c>
      <c r="E288" s="36">
        <v>26840</v>
      </c>
      <c r="F288" s="37">
        <v>53</v>
      </c>
      <c r="G288" s="35" t="s">
        <v>139</v>
      </c>
      <c r="H288" s="35" t="s">
        <v>128</v>
      </c>
      <c r="I288" s="38">
        <v>9500</v>
      </c>
      <c r="J288" s="38">
        <v>66500</v>
      </c>
      <c r="K288" s="35" t="s">
        <v>50</v>
      </c>
      <c r="L288" s="37">
        <v>38</v>
      </c>
      <c r="M288" s="38">
        <v>42500</v>
      </c>
      <c r="N288" s="35" t="str">
        <f t="shared" si="9"/>
        <v>Alto</v>
      </c>
      <c r="O288" s="35" t="str">
        <f t="shared" si="7"/>
        <v>Negada</v>
      </c>
      <c r="P288" s="35" t="str">
        <f t="shared" si="10"/>
        <v>Negada</v>
      </c>
      <c r="Q288" s="38">
        <f>IF(AND(O288="Negada",P288="Negada"),0,IF(A288="Ativo",M288*0.08,0))</f>
        <v>0</v>
      </c>
    </row>
    <row r="289" spans="1:17" ht="15.75" customHeight="1">
      <c r="A289" s="35" t="s">
        <v>77</v>
      </c>
      <c r="B289" s="35" t="s">
        <v>654</v>
      </c>
      <c r="C289" s="35" t="s">
        <v>655</v>
      </c>
      <c r="D289" s="35" t="str">
        <f t="shared" si="8"/>
        <v>000.000.351-00</v>
      </c>
      <c r="E289" s="36">
        <v>20275</v>
      </c>
      <c r="F289" s="37">
        <v>71</v>
      </c>
      <c r="G289" s="35" t="s">
        <v>98</v>
      </c>
      <c r="H289" s="35" t="s">
        <v>99</v>
      </c>
      <c r="I289" s="38">
        <v>14200</v>
      </c>
      <c r="J289" s="38">
        <v>51000</v>
      </c>
      <c r="K289" s="35" t="s">
        <v>49</v>
      </c>
      <c r="L289" s="37">
        <v>10</v>
      </c>
      <c r="M289" s="38">
        <v>90500</v>
      </c>
      <c r="N289" s="35" t="str">
        <f t="shared" si="9"/>
        <v>Baixo</v>
      </c>
      <c r="O289" s="35" t="str">
        <f t="shared" si="7"/>
        <v>Passa</v>
      </c>
      <c r="P289" s="35" t="str">
        <f t="shared" si="10"/>
        <v>Passa</v>
      </c>
      <c r="Q289" s="38">
        <f>IF(AND(O289="Negada",P289="Negada"),0,IF(A289="Ativo",M289*0.08,0))</f>
        <v>7240</v>
      </c>
    </row>
    <row r="290" spans="1:17" ht="15.75" customHeight="1">
      <c r="A290" s="35" t="s">
        <v>77</v>
      </c>
      <c r="B290" s="35" t="s">
        <v>479</v>
      </c>
      <c r="C290" s="35" t="s">
        <v>480</v>
      </c>
      <c r="D290" s="35" t="str">
        <f t="shared" si="8"/>
        <v>000.000.168-00</v>
      </c>
      <c r="E290" s="36">
        <v>32414</v>
      </c>
      <c r="F290" s="37">
        <v>37</v>
      </c>
      <c r="G290" s="35" t="s">
        <v>88</v>
      </c>
      <c r="H290" s="35" t="s">
        <v>89</v>
      </c>
      <c r="I290" s="38">
        <v>12800</v>
      </c>
      <c r="J290" s="38">
        <v>76500</v>
      </c>
      <c r="K290" s="35" t="s">
        <v>49</v>
      </c>
      <c r="L290" s="37">
        <v>30</v>
      </c>
      <c r="M290" s="38">
        <v>95000</v>
      </c>
      <c r="N290" s="35" t="str">
        <f t="shared" si="9"/>
        <v>Alto</v>
      </c>
      <c r="O290" s="35" t="str">
        <f t="shared" si="7"/>
        <v>Passa</v>
      </c>
      <c r="P290" s="35" t="str">
        <f t="shared" si="10"/>
        <v>Passa</v>
      </c>
      <c r="Q290" s="38">
        <f>IF(AND(O290="Negada",P290="Negada"),0,IF(A290="Ativo",M290*0.08,0))</f>
        <v>7600</v>
      </c>
    </row>
    <row r="291" spans="1:17" ht="15.75" customHeight="1">
      <c r="A291" s="35" t="s">
        <v>77</v>
      </c>
      <c r="B291" s="35" t="s">
        <v>656</v>
      </c>
      <c r="C291" s="35" t="s">
        <v>657</v>
      </c>
      <c r="D291" s="35" t="str">
        <f t="shared" si="8"/>
        <v>000.000.101-00</v>
      </c>
      <c r="E291" s="36">
        <v>37936</v>
      </c>
      <c r="F291" s="37">
        <v>22</v>
      </c>
      <c r="G291" s="35" t="s">
        <v>80</v>
      </c>
      <c r="H291" s="35" t="s">
        <v>81</v>
      </c>
      <c r="I291" s="38">
        <v>4100</v>
      </c>
      <c r="J291" s="38">
        <v>2000</v>
      </c>
      <c r="K291" s="35" t="s">
        <v>49</v>
      </c>
      <c r="L291" s="37">
        <v>8</v>
      </c>
      <c r="M291" s="38">
        <v>4000</v>
      </c>
      <c r="N291" s="35" t="str">
        <f t="shared" si="9"/>
        <v>Baixo</v>
      </c>
      <c r="O291" s="35" t="str">
        <f t="shared" si="7"/>
        <v>Passa</v>
      </c>
      <c r="P291" s="35" t="str">
        <f t="shared" si="10"/>
        <v>Passa</v>
      </c>
      <c r="Q291" s="38">
        <f>IF(AND(O291="Negada",P291="Negada"),0,IF(A291="Ativo",M291*0.08,0))</f>
        <v>320</v>
      </c>
    </row>
    <row r="292" spans="1:17" ht="15.75" customHeight="1">
      <c r="A292" s="35" t="s">
        <v>77</v>
      </c>
      <c r="B292" s="35" t="s">
        <v>658</v>
      </c>
      <c r="C292" s="35" t="s">
        <v>659</v>
      </c>
      <c r="D292" s="35" t="str">
        <f t="shared" si="8"/>
        <v>000.000.172-00</v>
      </c>
      <c r="E292" s="36">
        <v>32680</v>
      </c>
      <c r="F292" s="37">
        <v>37</v>
      </c>
      <c r="G292" s="35" t="s">
        <v>114</v>
      </c>
      <c r="H292" s="35" t="s">
        <v>109</v>
      </c>
      <c r="I292" s="38">
        <v>28900</v>
      </c>
      <c r="J292" s="38">
        <v>71000</v>
      </c>
      <c r="K292" s="35" t="s">
        <v>49</v>
      </c>
      <c r="L292" s="37">
        <v>28</v>
      </c>
      <c r="M292" s="38">
        <v>36500</v>
      </c>
      <c r="N292" s="35" t="str">
        <f t="shared" si="9"/>
        <v>Alto</v>
      </c>
      <c r="O292" s="35" t="str">
        <f t="shared" si="7"/>
        <v>Passa</v>
      </c>
      <c r="P292" s="35" t="str">
        <f t="shared" si="10"/>
        <v>Passa</v>
      </c>
      <c r="Q292" s="38">
        <f>IF(AND(O292="Negada",P292="Negada"),0,IF(A292="Ativo",M292*0.08,0))</f>
        <v>2920</v>
      </c>
    </row>
    <row r="293" spans="1:17" ht="15.75" customHeight="1">
      <c r="A293" s="35" t="s">
        <v>77</v>
      </c>
      <c r="B293" s="35" t="s">
        <v>660</v>
      </c>
      <c r="C293" s="35" t="s">
        <v>661</v>
      </c>
      <c r="D293" s="35" t="str">
        <f t="shared" si="8"/>
        <v>000.000.132-00</v>
      </c>
      <c r="E293" s="36">
        <v>35334</v>
      </c>
      <c r="F293" s="37">
        <v>29</v>
      </c>
      <c r="G293" s="35" t="s">
        <v>92</v>
      </c>
      <c r="H293" s="35" t="s">
        <v>93</v>
      </c>
      <c r="I293" s="38">
        <v>19500</v>
      </c>
      <c r="J293" s="38">
        <v>57000</v>
      </c>
      <c r="K293" s="35" t="s">
        <v>49</v>
      </c>
      <c r="L293" s="37">
        <v>12</v>
      </c>
      <c r="M293" s="38">
        <v>20500</v>
      </c>
      <c r="N293" s="35" t="str">
        <f t="shared" si="9"/>
        <v>Médio</v>
      </c>
      <c r="O293" s="35" t="str">
        <f t="shared" si="7"/>
        <v>Passa</v>
      </c>
      <c r="P293" s="35" t="str">
        <f t="shared" si="10"/>
        <v>Passa</v>
      </c>
      <c r="Q293" s="38">
        <f>IF(AND(O293="Negada",P293="Negada"),0,IF(A293="Ativo",M293*0.08,0))</f>
        <v>1640</v>
      </c>
    </row>
    <row r="294" spans="1:17" ht="15.75" customHeight="1">
      <c r="A294" s="35" t="s">
        <v>77</v>
      </c>
      <c r="B294" s="35" t="s">
        <v>445</v>
      </c>
      <c r="C294" s="35" t="s">
        <v>662</v>
      </c>
      <c r="D294" s="35" t="str">
        <f t="shared" si="8"/>
        <v>000.000.104-00</v>
      </c>
      <c r="E294" s="36">
        <v>27421</v>
      </c>
      <c r="F294" s="37">
        <v>51</v>
      </c>
      <c r="G294" s="35" t="s">
        <v>165</v>
      </c>
      <c r="H294" s="35" t="s">
        <v>165</v>
      </c>
      <c r="I294" s="38">
        <v>26000</v>
      </c>
      <c r="J294" s="38">
        <v>47500</v>
      </c>
      <c r="K294" s="35" t="s">
        <v>49</v>
      </c>
      <c r="L294" s="37">
        <v>45</v>
      </c>
      <c r="M294" s="38">
        <v>60500</v>
      </c>
      <c r="N294" s="35" t="str">
        <f t="shared" si="9"/>
        <v>Alto</v>
      </c>
      <c r="O294" s="35" t="str">
        <f t="shared" si="7"/>
        <v>Passa</v>
      </c>
      <c r="P294" s="35" t="str">
        <f t="shared" si="10"/>
        <v>Passa</v>
      </c>
      <c r="Q294" s="38">
        <f>IF(AND(O294="Negada",P294="Negada"),0,IF(A294="Ativo",M294*0.08,0))</f>
        <v>4840</v>
      </c>
    </row>
    <row r="295" spans="1:17" ht="15.75" customHeight="1">
      <c r="A295" s="35" t="s">
        <v>82</v>
      </c>
      <c r="B295" s="35" t="s">
        <v>663</v>
      </c>
      <c r="C295" s="35" t="s">
        <v>664</v>
      </c>
      <c r="D295" s="35" t="str">
        <f t="shared" si="8"/>
        <v>000.000.353-00</v>
      </c>
      <c r="E295" s="36">
        <v>19047</v>
      </c>
      <c r="F295" s="37">
        <v>74</v>
      </c>
      <c r="G295" s="35" t="s">
        <v>98</v>
      </c>
      <c r="H295" s="35" t="s">
        <v>99</v>
      </c>
      <c r="I295" s="38">
        <v>24000</v>
      </c>
      <c r="J295" s="38">
        <v>35000</v>
      </c>
      <c r="K295" s="35" t="s">
        <v>49</v>
      </c>
      <c r="L295" s="37">
        <v>6</v>
      </c>
      <c r="M295" s="38">
        <v>29500</v>
      </c>
      <c r="N295" s="35" t="str">
        <f t="shared" si="9"/>
        <v>Baixo</v>
      </c>
      <c r="O295" s="35" t="str">
        <f t="shared" si="7"/>
        <v>Passa</v>
      </c>
      <c r="P295" s="35" t="str">
        <f t="shared" si="10"/>
        <v>Passa</v>
      </c>
      <c r="Q295" s="38">
        <f>IF(AND(O295="Negada",P295="Negada"),0,IF(A295="Ativo",M295*0.08,0))</f>
        <v>0</v>
      </c>
    </row>
    <row r="296" spans="1:17" ht="15.75" customHeight="1">
      <c r="A296" s="35" t="s">
        <v>77</v>
      </c>
      <c r="B296" s="35" t="s">
        <v>665</v>
      </c>
      <c r="C296" s="35" t="s">
        <v>666</v>
      </c>
      <c r="D296" s="35" t="str">
        <f t="shared" si="8"/>
        <v>000.000.347-00</v>
      </c>
      <c r="E296" s="36">
        <v>39016</v>
      </c>
      <c r="F296" s="37">
        <v>19</v>
      </c>
      <c r="G296" s="35" t="s">
        <v>92</v>
      </c>
      <c r="H296" s="35" t="s">
        <v>93</v>
      </c>
      <c r="I296" s="38">
        <v>14900</v>
      </c>
      <c r="J296" s="38">
        <v>17000</v>
      </c>
      <c r="K296" s="35" t="s">
        <v>49</v>
      </c>
      <c r="L296" s="37">
        <v>20</v>
      </c>
      <c r="M296" s="38">
        <v>29500</v>
      </c>
      <c r="N296" s="35" t="str">
        <f t="shared" si="9"/>
        <v>Médio</v>
      </c>
      <c r="O296" s="35" t="str">
        <f t="shared" si="7"/>
        <v>Passa</v>
      </c>
      <c r="P296" s="35" t="str">
        <f t="shared" si="10"/>
        <v>Passa</v>
      </c>
      <c r="Q296" s="38">
        <f>IF(AND(O296="Negada",P296="Negada"),0,IF(A296="Ativo",M296*0.08,0))</f>
        <v>2360</v>
      </c>
    </row>
    <row r="297" spans="1:17" ht="15.75" customHeight="1">
      <c r="A297" s="35" t="s">
        <v>82</v>
      </c>
      <c r="B297" s="35" t="s">
        <v>483</v>
      </c>
      <c r="C297" s="35" t="s">
        <v>667</v>
      </c>
      <c r="D297" s="35" t="str">
        <f t="shared" si="8"/>
        <v>000.000.327-00</v>
      </c>
      <c r="E297" s="36">
        <v>25369</v>
      </c>
      <c r="F297" s="37">
        <v>57</v>
      </c>
      <c r="G297" s="35" t="s">
        <v>114</v>
      </c>
      <c r="H297" s="35" t="s">
        <v>109</v>
      </c>
      <c r="I297" s="38">
        <v>28600</v>
      </c>
      <c r="J297" s="38">
        <v>73500</v>
      </c>
      <c r="K297" s="35" t="s">
        <v>49</v>
      </c>
      <c r="L297" s="37">
        <v>29</v>
      </c>
      <c r="M297" s="38">
        <v>93500</v>
      </c>
      <c r="N297" s="35" t="str">
        <f t="shared" si="9"/>
        <v>Alto</v>
      </c>
      <c r="O297" s="35" t="str">
        <f t="shared" si="7"/>
        <v>Passa</v>
      </c>
      <c r="P297" s="35" t="str">
        <f t="shared" si="10"/>
        <v>Passa</v>
      </c>
      <c r="Q297" s="38">
        <f>IF(AND(O297="Negada",P297="Negada"),0,IF(A297="Ativo",M297*0.08,0))</f>
        <v>0</v>
      </c>
    </row>
    <row r="298" spans="1:17" ht="15.75" customHeight="1">
      <c r="A298" s="35" t="s">
        <v>82</v>
      </c>
      <c r="B298" s="35" t="s">
        <v>668</v>
      </c>
      <c r="C298" s="35" t="s">
        <v>669</v>
      </c>
      <c r="D298" s="35" t="str">
        <f t="shared" si="8"/>
        <v>000.000.192-00</v>
      </c>
      <c r="E298" s="36">
        <v>27833</v>
      </c>
      <c r="F298" s="37">
        <v>50</v>
      </c>
      <c r="G298" s="35" t="s">
        <v>123</v>
      </c>
      <c r="H298" s="35" t="s">
        <v>124</v>
      </c>
      <c r="I298" s="38">
        <v>16200</v>
      </c>
      <c r="J298" s="38">
        <v>25000</v>
      </c>
      <c r="K298" s="35" t="s">
        <v>49</v>
      </c>
      <c r="L298" s="37">
        <v>26</v>
      </c>
      <c r="M298" s="38">
        <v>65000</v>
      </c>
      <c r="N298" s="35" t="str">
        <f t="shared" si="9"/>
        <v>Alto</v>
      </c>
      <c r="O298" s="35" t="str">
        <f t="shared" si="7"/>
        <v>Passa</v>
      </c>
      <c r="P298" s="35" t="str">
        <f t="shared" si="10"/>
        <v>Passa</v>
      </c>
      <c r="Q298" s="38">
        <f>IF(AND(O298="Negada",P298="Negada"),0,IF(A298="Ativo",M298*0.08,0))</f>
        <v>0</v>
      </c>
    </row>
    <row r="299" spans="1:17" ht="15.75" customHeight="1">
      <c r="A299" s="35" t="s">
        <v>77</v>
      </c>
      <c r="B299" s="35" t="s">
        <v>397</v>
      </c>
      <c r="C299" s="35" t="s">
        <v>670</v>
      </c>
      <c r="D299" s="35" t="str">
        <f t="shared" si="8"/>
        <v>000.000.285-00</v>
      </c>
      <c r="E299" s="36">
        <v>31115</v>
      </c>
      <c r="F299" s="37">
        <v>41</v>
      </c>
      <c r="G299" s="35" t="s">
        <v>127</v>
      </c>
      <c r="H299" s="35" t="s">
        <v>128</v>
      </c>
      <c r="I299" s="38">
        <v>23100</v>
      </c>
      <c r="J299" s="38">
        <v>36000</v>
      </c>
      <c r="K299" s="35" t="s">
        <v>49</v>
      </c>
      <c r="L299" s="37">
        <v>19</v>
      </c>
      <c r="M299" s="38">
        <v>37500</v>
      </c>
      <c r="N299" s="35" t="str">
        <f t="shared" si="9"/>
        <v>Médio</v>
      </c>
      <c r="O299" s="35" t="str">
        <f t="shared" si="7"/>
        <v>Passa</v>
      </c>
      <c r="P299" s="35" t="str">
        <f t="shared" si="10"/>
        <v>Passa</v>
      </c>
      <c r="Q299" s="38">
        <f>IF(AND(O299="Negada",P299="Negada"),0,IF(A299="Ativo",M299*0.08,0))</f>
        <v>3000</v>
      </c>
    </row>
    <row r="300" spans="1:17" ht="15.75" customHeight="1">
      <c r="A300" s="35" t="s">
        <v>77</v>
      </c>
      <c r="B300" s="35" t="s">
        <v>671</v>
      </c>
      <c r="C300" s="35" t="s">
        <v>672</v>
      </c>
      <c r="D300" s="35" t="str">
        <f t="shared" si="8"/>
        <v>000.000.137-00</v>
      </c>
      <c r="E300" s="36">
        <v>19323</v>
      </c>
      <c r="F300" s="37">
        <v>73</v>
      </c>
      <c r="G300" s="35" t="s">
        <v>215</v>
      </c>
      <c r="H300" s="35" t="s">
        <v>216</v>
      </c>
      <c r="I300" s="38">
        <v>18100</v>
      </c>
      <c r="J300" s="38">
        <v>0</v>
      </c>
      <c r="K300" s="35" t="s">
        <v>49</v>
      </c>
      <c r="L300" s="37">
        <v>36</v>
      </c>
      <c r="M300" s="38">
        <v>89000</v>
      </c>
      <c r="N300" s="35" t="str">
        <f t="shared" si="9"/>
        <v>Alto</v>
      </c>
      <c r="O300" s="35" t="str">
        <f t="shared" si="7"/>
        <v>Passa</v>
      </c>
      <c r="P300" s="35" t="str">
        <f t="shared" si="10"/>
        <v>Passa</v>
      </c>
      <c r="Q300" s="38">
        <f>IF(AND(O300="Negada",P300="Negada"),0,IF(A300="Ativo",M300*0.08,0))</f>
        <v>7120</v>
      </c>
    </row>
    <row r="301" spans="1:17" ht="15.75" customHeight="1">
      <c r="A301" s="35" t="s">
        <v>77</v>
      </c>
      <c r="B301" s="35" t="s">
        <v>673</v>
      </c>
      <c r="C301" s="35" t="s">
        <v>674</v>
      </c>
      <c r="D301" s="35" t="str">
        <f t="shared" si="8"/>
        <v>000.000.331-00</v>
      </c>
      <c r="E301" s="36">
        <v>36759</v>
      </c>
      <c r="F301" s="37">
        <v>26</v>
      </c>
      <c r="G301" s="35" t="s">
        <v>165</v>
      </c>
      <c r="H301" s="35" t="s">
        <v>165</v>
      </c>
      <c r="I301" s="38">
        <v>23200</v>
      </c>
      <c r="J301" s="38">
        <v>54500</v>
      </c>
      <c r="K301" s="35" t="s">
        <v>50</v>
      </c>
      <c r="L301" s="37">
        <v>26</v>
      </c>
      <c r="M301" s="38">
        <v>75000</v>
      </c>
      <c r="N301" s="35" t="str">
        <f t="shared" si="9"/>
        <v>Alto</v>
      </c>
      <c r="O301" s="35" t="str">
        <f t="shared" si="7"/>
        <v>Negada</v>
      </c>
      <c r="P301" s="35" t="str">
        <f t="shared" si="10"/>
        <v>Negada</v>
      </c>
      <c r="Q301" s="38">
        <f>IF(AND(O301="Negada",P301="Negada"),0,IF(A301="Ativo",M301*0.08,0))</f>
        <v>0</v>
      </c>
    </row>
    <row r="302" spans="1:17" ht="15.75" customHeight="1">
      <c r="A302" s="35" t="s">
        <v>77</v>
      </c>
      <c r="B302" s="35" t="s">
        <v>675</v>
      </c>
      <c r="C302" s="35" t="s">
        <v>676</v>
      </c>
      <c r="D302" s="35" t="str">
        <f t="shared" si="8"/>
        <v>000.000.312-00</v>
      </c>
      <c r="E302" s="36">
        <v>36792</v>
      </c>
      <c r="F302" s="37">
        <v>25</v>
      </c>
      <c r="G302" s="35" t="s">
        <v>80</v>
      </c>
      <c r="H302" s="35" t="s">
        <v>81</v>
      </c>
      <c r="I302" s="38">
        <v>22100</v>
      </c>
      <c r="J302" s="38">
        <v>30500</v>
      </c>
      <c r="K302" s="35" t="s">
        <v>49</v>
      </c>
      <c r="L302" s="37">
        <v>28</v>
      </c>
      <c r="M302" s="38">
        <v>48000</v>
      </c>
      <c r="N302" s="35" t="str">
        <f t="shared" si="9"/>
        <v>Alto</v>
      </c>
      <c r="O302" s="35" t="str">
        <f t="shared" si="7"/>
        <v>Passa</v>
      </c>
      <c r="P302" s="35" t="str">
        <f t="shared" si="10"/>
        <v>Passa</v>
      </c>
      <c r="Q302" s="38">
        <f>IF(AND(O302="Negada",P302="Negada"),0,IF(A302="Ativo",M302*0.08,0))</f>
        <v>3840</v>
      </c>
    </row>
    <row r="303" spans="1:17" ht="15.75" customHeight="1">
      <c r="A303" s="35" t="s">
        <v>77</v>
      </c>
      <c r="B303" s="35" t="s">
        <v>677</v>
      </c>
      <c r="C303" s="35" t="s">
        <v>678</v>
      </c>
      <c r="D303" s="35" t="str">
        <f t="shared" si="8"/>
        <v>000.000.275-00</v>
      </c>
      <c r="E303" s="36">
        <v>33117</v>
      </c>
      <c r="F303" s="37">
        <v>36</v>
      </c>
      <c r="G303" s="35" t="s">
        <v>215</v>
      </c>
      <c r="H303" s="35" t="s">
        <v>216</v>
      </c>
      <c r="I303" s="38">
        <v>11600</v>
      </c>
      <c r="J303" s="38">
        <v>78500</v>
      </c>
      <c r="K303" s="35" t="s">
        <v>49</v>
      </c>
      <c r="L303" s="37">
        <v>1</v>
      </c>
      <c r="M303" s="38">
        <v>42000</v>
      </c>
      <c r="N303" s="35" t="str">
        <f t="shared" si="9"/>
        <v>Baixo</v>
      </c>
      <c r="O303" s="35" t="str">
        <f t="shared" si="7"/>
        <v>Passa</v>
      </c>
      <c r="P303" s="35" t="str">
        <f t="shared" si="10"/>
        <v>Passa</v>
      </c>
      <c r="Q303" s="38">
        <f>IF(AND(O303="Negada",P303="Negada"),0,IF(A303="Ativo",M303*0.08,0))</f>
        <v>3360</v>
      </c>
    </row>
    <row r="304" spans="1:17" ht="15.75" customHeight="1">
      <c r="A304" s="35" t="s">
        <v>82</v>
      </c>
      <c r="B304" s="35" t="s">
        <v>679</v>
      </c>
      <c r="C304" s="35" t="s">
        <v>680</v>
      </c>
      <c r="D304" s="35" t="str">
        <f t="shared" si="8"/>
        <v>000.000.166-00</v>
      </c>
      <c r="E304" s="36">
        <v>33417</v>
      </c>
      <c r="F304" s="37">
        <v>35</v>
      </c>
      <c r="G304" s="35" t="s">
        <v>156</v>
      </c>
      <c r="H304" s="35" t="s">
        <v>134</v>
      </c>
      <c r="I304" s="38">
        <v>12400</v>
      </c>
      <c r="J304" s="38">
        <v>36000</v>
      </c>
      <c r="K304" s="35" t="s">
        <v>49</v>
      </c>
      <c r="L304" s="37">
        <v>3</v>
      </c>
      <c r="M304" s="38">
        <v>83500</v>
      </c>
      <c r="N304" s="35" t="str">
        <f t="shared" si="9"/>
        <v>Baixo</v>
      </c>
      <c r="O304" s="35" t="str">
        <f t="shared" si="7"/>
        <v>Passa</v>
      </c>
      <c r="P304" s="35" t="str">
        <f t="shared" si="10"/>
        <v>Passa</v>
      </c>
      <c r="Q304" s="38">
        <f>IF(AND(O304="Negada",P304="Negada"),0,IF(A304="Ativo",M304*0.08,0))</f>
        <v>0</v>
      </c>
    </row>
    <row r="305" spans="1:17" ht="15.75" customHeight="1">
      <c r="A305" s="35" t="s">
        <v>77</v>
      </c>
      <c r="B305" s="35" t="s">
        <v>681</v>
      </c>
      <c r="C305" s="35" t="s">
        <v>682</v>
      </c>
      <c r="D305" s="35" t="str">
        <f t="shared" si="8"/>
        <v>000.000.109-00</v>
      </c>
      <c r="E305" s="36">
        <v>22845</v>
      </c>
      <c r="F305" s="37">
        <v>64</v>
      </c>
      <c r="G305" s="35" t="s">
        <v>146</v>
      </c>
      <c r="H305" s="35" t="s">
        <v>128</v>
      </c>
      <c r="I305" s="38">
        <v>12700</v>
      </c>
      <c r="J305" s="38">
        <v>0</v>
      </c>
      <c r="K305" s="35" t="s">
        <v>49</v>
      </c>
      <c r="L305" s="37">
        <v>21</v>
      </c>
      <c r="M305" s="38">
        <v>50500</v>
      </c>
      <c r="N305" s="35" t="str">
        <f t="shared" si="9"/>
        <v>Médio</v>
      </c>
      <c r="O305" s="35" t="str">
        <f t="shared" si="7"/>
        <v>Passa</v>
      </c>
      <c r="P305" s="35" t="str">
        <f t="shared" si="10"/>
        <v>Passa</v>
      </c>
      <c r="Q305" s="38">
        <f>IF(AND(O305="Negada",P305="Negada"),0,IF(A305="Ativo",M305*0.08,0))</f>
        <v>4040</v>
      </c>
    </row>
    <row r="306" spans="1:17" ht="15.75" customHeight="1">
      <c r="A306" s="35" t="s">
        <v>77</v>
      </c>
      <c r="B306" s="35" t="s">
        <v>683</v>
      </c>
      <c r="C306" s="35" t="s">
        <v>684</v>
      </c>
      <c r="D306" s="35" t="str">
        <f t="shared" si="8"/>
        <v>000.000.204-00</v>
      </c>
      <c r="E306" s="36">
        <v>28147</v>
      </c>
      <c r="F306" s="37">
        <v>49</v>
      </c>
      <c r="G306" s="35" t="s">
        <v>197</v>
      </c>
      <c r="H306" s="35" t="s">
        <v>89</v>
      </c>
      <c r="I306" s="38">
        <v>28400</v>
      </c>
      <c r="J306" s="38">
        <v>38500</v>
      </c>
      <c r="K306" s="35" t="s">
        <v>49</v>
      </c>
      <c r="L306" s="37">
        <v>26</v>
      </c>
      <c r="M306" s="38">
        <v>51000</v>
      </c>
      <c r="N306" s="35" t="str">
        <f t="shared" si="9"/>
        <v>Alto</v>
      </c>
      <c r="O306" s="35" t="str">
        <f t="shared" si="7"/>
        <v>Passa</v>
      </c>
      <c r="P306" s="35" t="str">
        <f t="shared" si="10"/>
        <v>Passa</v>
      </c>
      <c r="Q306" s="38">
        <f>IF(AND(O306="Negada",P306="Negada"),0,IF(A306="Ativo",M306*0.08,0))</f>
        <v>4080</v>
      </c>
    </row>
    <row r="307" spans="1:17" ht="15.75" customHeight="1">
      <c r="A307" s="35" t="s">
        <v>77</v>
      </c>
      <c r="B307" s="35" t="s">
        <v>685</v>
      </c>
      <c r="C307" s="35" t="s">
        <v>686</v>
      </c>
      <c r="D307" s="35" t="str">
        <f t="shared" si="8"/>
        <v>000.000.085-00</v>
      </c>
      <c r="E307" s="36">
        <v>27886</v>
      </c>
      <c r="F307" s="37">
        <v>50</v>
      </c>
      <c r="G307" s="35" t="s">
        <v>165</v>
      </c>
      <c r="H307" s="35" t="s">
        <v>165</v>
      </c>
      <c r="I307" s="38">
        <v>16100</v>
      </c>
      <c r="J307" s="38">
        <v>8000</v>
      </c>
      <c r="K307" s="35" t="s">
        <v>50</v>
      </c>
      <c r="L307" s="37">
        <v>30</v>
      </c>
      <c r="M307" s="38">
        <v>27000</v>
      </c>
      <c r="N307" s="35" t="str">
        <f t="shared" si="9"/>
        <v>Alto</v>
      </c>
      <c r="O307" s="35" t="str">
        <f t="shared" si="7"/>
        <v>Negada</v>
      </c>
      <c r="P307" s="35" t="str">
        <f t="shared" si="10"/>
        <v>Passa</v>
      </c>
      <c r="Q307" s="38">
        <f>IF(AND(O307="Negada",P307="Negada"),0,IF(A307="Ativo",M307*0.08,0))</f>
        <v>2160</v>
      </c>
    </row>
    <row r="308" spans="1:17" ht="15.75" customHeight="1">
      <c r="A308" s="35" t="s">
        <v>176</v>
      </c>
      <c r="B308" s="35" t="s">
        <v>687</v>
      </c>
      <c r="C308" s="35" t="s">
        <v>688</v>
      </c>
      <c r="D308" s="35" t="str">
        <f t="shared" si="8"/>
        <v>000.000.261-00</v>
      </c>
      <c r="E308" s="36">
        <v>33188</v>
      </c>
      <c r="F308" s="37">
        <v>35</v>
      </c>
      <c r="G308" s="35" t="s">
        <v>114</v>
      </c>
      <c r="H308" s="35" t="s">
        <v>109</v>
      </c>
      <c r="I308" s="38">
        <v>29900</v>
      </c>
      <c r="J308" s="38">
        <v>64500</v>
      </c>
      <c r="K308" s="35" t="s">
        <v>49</v>
      </c>
      <c r="L308" s="37">
        <v>34</v>
      </c>
      <c r="M308" s="38">
        <v>48500</v>
      </c>
      <c r="N308" s="35" t="str">
        <f t="shared" si="9"/>
        <v>Alto</v>
      </c>
      <c r="O308" s="35" t="str">
        <f t="shared" si="7"/>
        <v>Passa</v>
      </c>
      <c r="P308" s="35" t="str">
        <f t="shared" si="10"/>
        <v>Passa</v>
      </c>
      <c r="Q308" s="38">
        <f>IF(AND(O308="Negada",P308="Negada"),0,IF(A308="Ativo",M308*0.08,0))</f>
        <v>0</v>
      </c>
    </row>
    <row r="309" spans="1:17" ht="15.75" customHeight="1">
      <c r="A309" s="35" t="s">
        <v>77</v>
      </c>
      <c r="B309" s="35" t="s">
        <v>689</v>
      </c>
      <c r="C309" s="35" t="s">
        <v>690</v>
      </c>
      <c r="D309" s="35" t="str">
        <f t="shared" si="8"/>
        <v>000.000.189-00</v>
      </c>
      <c r="E309" s="36">
        <v>31968</v>
      </c>
      <c r="F309" s="37">
        <v>39</v>
      </c>
      <c r="G309" s="35" t="s">
        <v>139</v>
      </c>
      <c r="H309" s="35" t="s">
        <v>128</v>
      </c>
      <c r="I309" s="38">
        <v>8000</v>
      </c>
      <c r="J309" s="38">
        <v>69000</v>
      </c>
      <c r="K309" s="35" t="s">
        <v>49</v>
      </c>
      <c r="L309" s="37">
        <v>15</v>
      </c>
      <c r="M309" s="38">
        <v>39500</v>
      </c>
      <c r="N309" s="35" t="str">
        <f t="shared" si="9"/>
        <v>Médio</v>
      </c>
      <c r="O309" s="35" t="str">
        <f t="shared" si="7"/>
        <v>Passa</v>
      </c>
      <c r="P309" s="35" t="str">
        <f t="shared" si="10"/>
        <v>Passa</v>
      </c>
      <c r="Q309" s="38">
        <f>IF(AND(O309="Negada",P309="Negada"),0,IF(A309="Ativo",M309*0.08,0))</f>
        <v>3160</v>
      </c>
    </row>
    <row r="310" spans="1:17" ht="15.75" customHeight="1">
      <c r="A310" s="35" t="s">
        <v>77</v>
      </c>
      <c r="B310" s="35" t="s">
        <v>691</v>
      </c>
      <c r="C310" s="35" t="s">
        <v>692</v>
      </c>
      <c r="D310" s="35" t="str">
        <f t="shared" si="8"/>
        <v>000.000.298-00</v>
      </c>
      <c r="E310" s="36">
        <v>39003</v>
      </c>
      <c r="F310" s="37">
        <v>19</v>
      </c>
      <c r="G310" s="35" t="s">
        <v>139</v>
      </c>
      <c r="H310" s="35" t="s">
        <v>128</v>
      </c>
      <c r="I310" s="38">
        <v>4000</v>
      </c>
      <c r="J310" s="38">
        <v>29500</v>
      </c>
      <c r="K310" s="35" t="s">
        <v>50</v>
      </c>
      <c r="L310" s="37">
        <v>13</v>
      </c>
      <c r="M310" s="38">
        <v>5000</v>
      </c>
      <c r="N310" s="35" t="str">
        <f t="shared" si="9"/>
        <v>Médio</v>
      </c>
      <c r="O310" s="35" t="str">
        <f t="shared" si="7"/>
        <v>Passa</v>
      </c>
      <c r="P310" s="35" t="str">
        <f t="shared" si="10"/>
        <v>Passa</v>
      </c>
      <c r="Q310" s="38">
        <f>IF(AND(O310="Negada",P310="Negada"),0,IF(A310="Ativo",M310*0.08,0))</f>
        <v>400</v>
      </c>
    </row>
    <row r="311" spans="1:17" ht="15.75" customHeight="1">
      <c r="A311" s="35" t="s">
        <v>82</v>
      </c>
      <c r="B311" s="35" t="s">
        <v>405</v>
      </c>
      <c r="C311" s="35" t="s">
        <v>406</v>
      </c>
      <c r="D311" s="35" t="str">
        <f t="shared" si="8"/>
        <v>000.000.073-00</v>
      </c>
      <c r="E311" s="36">
        <v>22924</v>
      </c>
      <c r="F311" s="37">
        <v>63</v>
      </c>
      <c r="G311" s="35" t="s">
        <v>114</v>
      </c>
      <c r="H311" s="35" t="s">
        <v>109</v>
      </c>
      <c r="I311" s="38">
        <v>29000</v>
      </c>
      <c r="J311" s="38">
        <v>36500</v>
      </c>
      <c r="K311" s="35" t="s">
        <v>49</v>
      </c>
      <c r="L311" s="37">
        <v>38</v>
      </c>
      <c r="M311" s="38">
        <v>68000</v>
      </c>
      <c r="N311" s="35" t="str">
        <f t="shared" si="9"/>
        <v>Alto</v>
      </c>
      <c r="O311" s="35" t="str">
        <f t="shared" si="7"/>
        <v>Passa</v>
      </c>
      <c r="P311" s="35" t="str">
        <f t="shared" si="10"/>
        <v>Passa</v>
      </c>
      <c r="Q311" s="38">
        <f>IF(AND(O311="Negada",P311="Negada"),0,IF(A311="Ativo",M311*0.08,0))</f>
        <v>0</v>
      </c>
    </row>
    <row r="312" spans="1:17" ht="15.75" customHeight="1">
      <c r="A312" s="35" t="s">
        <v>77</v>
      </c>
      <c r="B312" s="35" t="s">
        <v>693</v>
      </c>
      <c r="C312" s="35" t="s">
        <v>694</v>
      </c>
      <c r="D312" s="35" t="str">
        <f t="shared" si="8"/>
        <v>000.000.179-00</v>
      </c>
      <c r="E312" s="36">
        <v>29991</v>
      </c>
      <c r="F312" s="37">
        <v>44</v>
      </c>
      <c r="G312" s="35" t="s">
        <v>197</v>
      </c>
      <c r="H312" s="35" t="s">
        <v>89</v>
      </c>
      <c r="I312" s="38">
        <v>6700</v>
      </c>
      <c r="J312" s="38">
        <v>16500</v>
      </c>
      <c r="K312" s="35" t="s">
        <v>50</v>
      </c>
      <c r="L312" s="37">
        <v>38</v>
      </c>
      <c r="M312" s="38">
        <v>15500</v>
      </c>
      <c r="N312" s="35" t="str">
        <f t="shared" si="9"/>
        <v>Alto</v>
      </c>
      <c r="O312" s="35" t="str">
        <f t="shared" si="7"/>
        <v>Negada</v>
      </c>
      <c r="P312" s="35" t="str">
        <f t="shared" si="10"/>
        <v>Passa</v>
      </c>
      <c r="Q312" s="38">
        <f>IF(AND(O312="Negada",P312="Negada"),0,IF(A312="Ativo",M312*0.08,0))</f>
        <v>1240</v>
      </c>
    </row>
    <row r="313" spans="1:17" ht="15.75" customHeight="1">
      <c r="A313" s="35" t="s">
        <v>77</v>
      </c>
      <c r="B313" s="35" t="s">
        <v>638</v>
      </c>
      <c r="C313" s="35" t="s">
        <v>695</v>
      </c>
      <c r="D313" s="35" t="str">
        <f t="shared" si="8"/>
        <v>000.000.004-00</v>
      </c>
      <c r="E313" s="36">
        <v>36671</v>
      </c>
      <c r="F313" s="37">
        <v>26</v>
      </c>
      <c r="G313" s="35" t="s">
        <v>84</v>
      </c>
      <c r="H313" s="35" t="s">
        <v>85</v>
      </c>
      <c r="I313" s="38">
        <v>25000</v>
      </c>
      <c r="J313" s="38">
        <v>1000</v>
      </c>
      <c r="K313" s="35" t="s">
        <v>49</v>
      </c>
      <c r="L313" s="37">
        <v>16</v>
      </c>
      <c r="M313" s="38">
        <v>10500</v>
      </c>
      <c r="N313" s="35" t="str">
        <f t="shared" si="9"/>
        <v>Médio</v>
      </c>
      <c r="O313" s="35" t="str">
        <f t="shared" si="7"/>
        <v>Passa</v>
      </c>
      <c r="P313" s="35" t="str">
        <f t="shared" si="10"/>
        <v>Passa</v>
      </c>
      <c r="Q313" s="38">
        <f>IF(AND(O313="Negada",P313="Negada"),0,IF(A313="Ativo",M313*0.08,0))</f>
        <v>840</v>
      </c>
    </row>
    <row r="314" spans="1:17" ht="15.75" customHeight="1">
      <c r="A314" s="35" t="s">
        <v>77</v>
      </c>
      <c r="B314" s="35" t="s">
        <v>696</v>
      </c>
      <c r="C314" s="35" t="s">
        <v>697</v>
      </c>
      <c r="D314" s="35" t="str">
        <f t="shared" si="8"/>
        <v>000.000.252-00</v>
      </c>
      <c r="E314" s="36">
        <v>30081</v>
      </c>
      <c r="F314" s="37">
        <v>44</v>
      </c>
      <c r="G314" s="35" t="s">
        <v>114</v>
      </c>
      <c r="H314" s="35" t="s">
        <v>109</v>
      </c>
      <c r="I314" s="38">
        <v>9600</v>
      </c>
      <c r="J314" s="38">
        <v>66000</v>
      </c>
      <c r="K314" s="35"/>
      <c r="L314" s="37">
        <v>11</v>
      </c>
      <c r="M314" s="38">
        <v>4500</v>
      </c>
      <c r="N314" s="35" t="str">
        <f t="shared" si="9"/>
        <v>Médio</v>
      </c>
      <c r="O314" s="35" t="str">
        <f t="shared" si="7"/>
        <v>Passa</v>
      </c>
      <c r="P314" s="35" t="str">
        <f t="shared" si="10"/>
        <v>Passa</v>
      </c>
      <c r="Q314" s="38">
        <f>IF(AND(O314="Negada",P314="Negada"),0,IF(A314="Ativo",M314*0.08,0))</f>
        <v>360</v>
      </c>
    </row>
    <row r="315" spans="1:17" ht="15.75" customHeight="1">
      <c r="A315" s="35" t="s">
        <v>77</v>
      </c>
      <c r="B315" s="35" t="s">
        <v>698</v>
      </c>
      <c r="C315" s="35" t="s">
        <v>699</v>
      </c>
      <c r="D315" s="35" t="str">
        <f t="shared" si="8"/>
        <v>000.000.299-00</v>
      </c>
      <c r="E315" s="36"/>
      <c r="F315" s="37">
        <v>46</v>
      </c>
      <c r="G315" s="35" t="s">
        <v>127</v>
      </c>
      <c r="H315" s="35" t="s">
        <v>128</v>
      </c>
      <c r="I315" s="38">
        <v>21300</v>
      </c>
      <c r="J315" s="38">
        <v>60500</v>
      </c>
      <c r="K315" s="35"/>
      <c r="L315" s="37">
        <v>15</v>
      </c>
      <c r="M315" s="38">
        <v>74500</v>
      </c>
      <c r="N315" s="35" t="str">
        <f t="shared" si="9"/>
        <v>Médio</v>
      </c>
      <c r="O315" s="35" t="str">
        <f t="shared" si="7"/>
        <v>Passa</v>
      </c>
      <c r="P315" s="35" t="str">
        <f t="shared" si="10"/>
        <v>Passa</v>
      </c>
      <c r="Q315" s="38">
        <f>IF(AND(O315="Negada",P315="Negada"),0,IF(A315="Ativo",M315*0.08,0))</f>
        <v>5960</v>
      </c>
    </row>
    <row r="316" spans="1:17" ht="15.75" customHeight="1">
      <c r="A316" s="35" t="s">
        <v>77</v>
      </c>
      <c r="B316" s="35" t="s">
        <v>700</v>
      </c>
      <c r="C316" s="35" t="s">
        <v>701</v>
      </c>
      <c r="D316" s="35" t="str">
        <f t="shared" si="8"/>
        <v>000.000.118-00</v>
      </c>
      <c r="E316" s="36">
        <v>21054</v>
      </c>
      <c r="F316" s="37">
        <v>69</v>
      </c>
      <c r="G316" s="35" t="s">
        <v>156</v>
      </c>
      <c r="H316" s="35" t="s">
        <v>134</v>
      </c>
      <c r="I316" s="38">
        <v>23800</v>
      </c>
      <c r="J316" s="38"/>
      <c r="K316" s="35"/>
      <c r="L316" s="37">
        <v>26</v>
      </c>
      <c r="M316" s="38">
        <v>89000</v>
      </c>
      <c r="N316" s="35" t="str">
        <f t="shared" si="9"/>
        <v>Alto</v>
      </c>
      <c r="O316" s="35" t="str">
        <f t="shared" si="7"/>
        <v>Passa</v>
      </c>
      <c r="P316" s="35" t="str">
        <f t="shared" si="10"/>
        <v>Passa</v>
      </c>
      <c r="Q316" s="38">
        <f>IF(AND(O316="Negada",P316="Negada"),0,IF(A316="Ativo",M316*0.08,0))</f>
        <v>7120</v>
      </c>
    </row>
    <row r="317" spans="1:17" ht="15.75" customHeight="1">
      <c r="A317" s="35" t="s">
        <v>77</v>
      </c>
      <c r="B317" s="35" t="s">
        <v>702</v>
      </c>
      <c r="C317" s="35" t="s">
        <v>703</v>
      </c>
      <c r="D317" s="35" t="str">
        <f t="shared" si="8"/>
        <v>000.000.355-00</v>
      </c>
      <c r="E317" s="36">
        <v>21522</v>
      </c>
      <c r="F317" s="37">
        <v>67</v>
      </c>
      <c r="G317" s="35" t="s">
        <v>269</v>
      </c>
      <c r="H317" s="35" t="s">
        <v>85</v>
      </c>
      <c r="I317" s="38">
        <v>11300</v>
      </c>
      <c r="J317" s="38">
        <v>49500</v>
      </c>
      <c r="K317" s="35" t="s">
        <v>49</v>
      </c>
      <c r="L317" s="37">
        <v>12</v>
      </c>
      <c r="M317" s="38">
        <v>34500</v>
      </c>
      <c r="N317" s="35" t="str">
        <f t="shared" si="9"/>
        <v>Médio</v>
      </c>
      <c r="O317" s="35" t="str">
        <f t="shared" si="7"/>
        <v>Passa</v>
      </c>
      <c r="P317" s="35" t="str">
        <f t="shared" si="10"/>
        <v>Passa</v>
      </c>
      <c r="Q317" s="38">
        <f>IF(AND(O317="Negada",P317="Negada"),0,IF(A317="Ativo",M317*0.08,0))</f>
        <v>2760</v>
      </c>
    </row>
    <row r="318" spans="1:17" ht="15.75" customHeight="1">
      <c r="A318" s="35" t="s">
        <v>77</v>
      </c>
      <c r="B318" s="35" t="s">
        <v>704</v>
      </c>
      <c r="C318" s="35" t="s">
        <v>705</v>
      </c>
      <c r="D318" s="35" t="str">
        <f t="shared" si="8"/>
        <v>000.000.019-00</v>
      </c>
      <c r="E318" s="36">
        <v>27378</v>
      </c>
      <c r="F318" s="37">
        <v>51</v>
      </c>
      <c r="G318" s="35" t="s">
        <v>165</v>
      </c>
      <c r="H318" s="35" t="s">
        <v>165</v>
      </c>
      <c r="I318" s="38">
        <v>11600</v>
      </c>
      <c r="J318" s="38">
        <v>41000</v>
      </c>
      <c r="K318" s="35" t="s">
        <v>49</v>
      </c>
      <c r="L318" s="37">
        <v>7</v>
      </c>
      <c r="M318" s="38">
        <v>67000</v>
      </c>
      <c r="N318" s="35" t="str">
        <f t="shared" si="9"/>
        <v>Baixo</v>
      </c>
      <c r="O318" s="35" t="str">
        <f t="shared" si="7"/>
        <v>Passa</v>
      </c>
      <c r="P318" s="35" t="str">
        <f t="shared" si="10"/>
        <v>Passa</v>
      </c>
      <c r="Q318" s="38">
        <f>IF(AND(O318="Negada",P318="Negada"),0,IF(A318="Ativo",M318*0.08,0))</f>
        <v>5360</v>
      </c>
    </row>
    <row r="319" spans="1:17" ht="15.75" customHeight="1">
      <c r="A319" s="35" t="s">
        <v>77</v>
      </c>
      <c r="B319" s="35" t="s">
        <v>706</v>
      </c>
      <c r="C319" s="35" t="s">
        <v>707</v>
      </c>
      <c r="D319" s="35" t="str">
        <f t="shared" si="8"/>
        <v>000.000.302-00</v>
      </c>
      <c r="E319" s="36">
        <v>28067</v>
      </c>
      <c r="F319" s="37">
        <v>49</v>
      </c>
      <c r="G319" s="35" t="s">
        <v>92</v>
      </c>
      <c r="H319" s="35" t="s">
        <v>93</v>
      </c>
      <c r="I319" s="38">
        <v>29800</v>
      </c>
      <c r="J319" s="38">
        <v>54500</v>
      </c>
      <c r="K319" s="35" t="s">
        <v>49</v>
      </c>
      <c r="L319" s="37">
        <v>34</v>
      </c>
      <c r="M319" s="38">
        <v>72000</v>
      </c>
      <c r="N319" s="35" t="str">
        <f t="shared" si="9"/>
        <v>Alto</v>
      </c>
      <c r="O319" s="35" t="str">
        <f t="shared" si="7"/>
        <v>Passa</v>
      </c>
      <c r="P319" s="35" t="str">
        <f t="shared" si="10"/>
        <v>Passa</v>
      </c>
      <c r="Q319" s="38">
        <f>IF(AND(O319="Negada",P319="Negada"),0,IF(A319="Ativo",M319*0.08,0))</f>
        <v>5760</v>
      </c>
    </row>
    <row r="320" spans="1:17" ht="15.75" customHeight="1">
      <c r="A320" s="35" t="s">
        <v>77</v>
      </c>
      <c r="B320" s="35" t="s">
        <v>381</v>
      </c>
      <c r="C320" s="35" t="s">
        <v>708</v>
      </c>
      <c r="D320" s="35" t="str">
        <f t="shared" si="8"/>
        <v>000.000.103-00</v>
      </c>
      <c r="E320" s="36">
        <v>38957</v>
      </c>
      <c r="F320" s="37">
        <v>20</v>
      </c>
      <c r="G320" s="35" t="s">
        <v>146</v>
      </c>
      <c r="H320" s="35" t="s">
        <v>128</v>
      </c>
      <c r="I320" s="38">
        <v>18200</v>
      </c>
      <c r="J320" s="38"/>
      <c r="K320" s="35" t="s">
        <v>49</v>
      </c>
      <c r="L320" s="37">
        <v>21</v>
      </c>
      <c r="M320" s="38">
        <v>61500</v>
      </c>
      <c r="N320" s="35" t="str">
        <f t="shared" si="9"/>
        <v>Médio</v>
      </c>
      <c r="O320" s="35" t="str">
        <f t="shared" si="7"/>
        <v>Passa</v>
      </c>
      <c r="P320" s="35" t="str">
        <f t="shared" si="10"/>
        <v>Passa</v>
      </c>
      <c r="Q320" s="38">
        <f>IF(AND(O320="Negada",P320="Negada"),0,IF(A320="Ativo",M320*0.08,0))</f>
        <v>4920</v>
      </c>
    </row>
    <row r="321" spans="1:17" ht="15.75" customHeight="1">
      <c r="A321" s="35" t="s">
        <v>77</v>
      </c>
      <c r="B321" s="35" t="s">
        <v>573</v>
      </c>
      <c r="C321" s="35" t="s">
        <v>574</v>
      </c>
      <c r="D321" s="35" t="str">
        <f t="shared" si="8"/>
        <v>000.000.193-00</v>
      </c>
      <c r="E321" s="36">
        <v>19131</v>
      </c>
      <c r="F321" s="37">
        <v>74</v>
      </c>
      <c r="G321" s="35" t="s">
        <v>197</v>
      </c>
      <c r="H321" s="35" t="s">
        <v>89</v>
      </c>
      <c r="I321" s="38">
        <v>20700</v>
      </c>
      <c r="J321" s="38">
        <v>17500</v>
      </c>
      <c r="K321" s="35" t="s">
        <v>49</v>
      </c>
      <c r="L321" s="37">
        <v>35</v>
      </c>
      <c r="M321" s="38">
        <v>68500</v>
      </c>
      <c r="N321" s="35" t="str">
        <f t="shared" si="9"/>
        <v>Alto</v>
      </c>
      <c r="O321" s="35" t="str">
        <f t="shared" si="7"/>
        <v>Passa</v>
      </c>
      <c r="P321" s="35" t="str">
        <f t="shared" si="10"/>
        <v>Passa</v>
      </c>
      <c r="Q321" s="38">
        <f>IF(AND(O321="Negada",P321="Negada"),0,IF(A321="Ativo",M321*0.08,0))</f>
        <v>5480</v>
      </c>
    </row>
    <row r="322" spans="1:17" ht="15.75" customHeight="1">
      <c r="A322" s="35" t="s">
        <v>82</v>
      </c>
      <c r="B322" s="35" t="s">
        <v>552</v>
      </c>
      <c r="C322" s="35" t="s">
        <v>553</v>
      </c>
      <c r="D322" s="35" t="str">
        <f t="shared" si="8"/>
        <v>000.000.064-00</v>
      </c>
      <c r="E322" s="36">
        <v>25206</v>
      </c>
      <c r="F322" s="37">
        <v>57</v>
      </c>
      <c r="G322" s="35" t="s">
        <v>123</v>
      </c>
      <c r="H322" s="35" t="s">
        <v>124</v>
      </c>
      <c r="I322" s="38">
        <v>3400</v>
      </c>
      <c r="J322" s="38">
        <v>23500</v>
      </c>
      <c r="K322" s="35" t="s">
        <v>49</v>
      </c>
      <c r="L322" s="37">
        <v>20</v>
      </c>
      <c r="M322" s="38">
        <v>50500</v>
      </c>
      <c r="N322" s="35" t="str">
        <f t="shared" si="9"/>
        <v>Médio</v>
      </c>
      <c r="O322" s="35" t="str">
        <f t="shared" si="7"/>
        <v>Passa</v>
      </c>
      <c r="P322" s="35" t="str">
        <f t="shared" si="10"/>
        <v>Passa</v>
      </c>
      <c r="Q322" s="38">
        <f>IF(AND(O322="Negada",P322="Negada"),0,IF(A322="Ativo",M322*0.08,0))</f>
        <v>0</v>
      </c>
    </row>
    <row r="323" spans="1:17" ht="15.75" customHeight="1">
      <c r="A323" s="35" t="s">
        <v>77</v>
      </c>
      <c r="B323" s="35" t="s">
        <v>360</v>
      </c>
      <c r="C323" s="35" t="s">
        <v>361</v>
      </c>
      <c r="D323" s="35" t="str">
        <f t="shared" ref="D323:D386" si="11">TEXT(C323,"000\.000\.000\-00")</f>
        <v>000.000.282-00</v>
      </c>
      <c r="E323" s="36">
        <v>25671</v>
      </c>
      <c r="F323" s="37">
        <v>56</v>
      </c>
      <c r="G323" s="35" t="s">
        <v>151</v>
      </c>
      <c r="H323" s="35" t="s">
        <v>124</v>
      </c>
      <c r="I323" s="38">
        <v>28300</v>
      </c>
      <c r="J323" s="38">
        <v>56000</v>
      </c>
      <c r="K323" s="35" t="s">
        <v>49</v>
      </c>
      <c r="L323" s="37">
        <v>6</v>
      </c>
      <c r="M323" s="38">
        <v>84500</v>
      </c>
      <c r="N323" s="35" t="str">
        <f t="shared" si="9"/>
        <v>Baixo</v>
      </c>
      <c r="O323" s="35" t="str">
        <f t="shared" si="7"/>
        <v>Passa</v>
      </c>
      <c r="P323" s="35" t="str">
        <f t="shared" si="10"/>
        <v>Passa</v>
      </c>
      <c r="Q323" s="38">
        <f>IF(AND(O323="Negada",P323="Negada"),0,IF(A323="Ativo",M323*0.08,0))</f>
        <v>6760</v>
      </c>
    </row>
    <row r="324" spans="1:17" ht="15.75" customHeight="1">
      <c r="A324" s="35" t="s">
        <v>77</v>
      </c>
      <c r="B324" s="35" t="s">
        <v>709</v>
      </c>
      <c r="C324" s="35" t="s">
        <v>710</v>
      </c>
      <c r="D324" s="35" t="str">
        <f t="shared" si="11"/>
        <v>000.000.213-00</v>
      </c>
      <c r="E324" s="36">
        <v>21145</v>
      </c>
      <c r="F324" s="37">
        <v>68</v>
      </c>
      <c r="G324" s="35" t="s">
        <v>84</v>
      </c>
      <c r="H324" s="35" t="s">
        <v>85</v>
      </c>
      <c r="I324" s="38">
        <v>24500</v>
      </c>
      <c r="J324" s="38">
        <v>16500</v>
      </c>
      <c r="K324" s="35" t="s">
        <v>49</v>
      </c>
      <c r="L324" s="37">
        <v>22</v>
      </c>
      <c r="M324" s="38">
        <v>34500</v>
      </c>
      <c r="N324" s="35" t="str">
        <f t="shared" si="9"/>
        <v>Médio</v>
      </c>
      <c r="O324" s="35" t="str">
        <f t="shared" si="7"/>
        <v>Passa</v>
      </c>
      <c r="P324" s="35" t="str">
        <f t="shared" si="10"/>
        <v>Passa</v>
      </c>
      <c r="Q324" s="38">
        <f>IF(AND(O324="Negada",P324="Negada"),0,IF(A324="Ativo",M324*0.08,0))</f>
        <v>2760</v>
      </c>
    </row>
    <row r="325" spans="1:17" ht="15.75" customHeight="1">
      <c r="A325" s="35" t="s">
        <v>82</v>
      </c>
      <c r="B325" s="35" t="s">
        <v>711</v>
      </c>
      <c r="C325" s="35" t="s">
        <v>712</v>
      </c>
      <c r="D325" s="35" t="str">
        <f t="shared" si="11"/>
        <v>000.000.345-00</v>
      </c>
      <c r="E325" s="36"/>
      <c r="F325" s="37">
        <v>73</v>
      </c>
      <c r="G325" s="35" t="s">
        <v>127</v>
      </c>
      <c r="H325" s="35" t="s">
        <v>128</v>
      </c>
      <c r="I325" s="38">
        <v>19900</v>
      </c>
      <c r="J325" s="38">
        <v>47000</v>
      </c>
      <c r="K325" s="35" t="s">
        <v>49</v>
      </c>
      <c r="L325" s="37">
        <v>19</v>
      </c>
      <c r="M325" s="38">
        <v>20500</v>
      </c>
      <c r="N325" s="35" t="str">
        <f t="shared" si="9"/>
        <v>Médio</v>
      </c>
      <c r="O325" s="35" t="str">
        <f t="shared" si="7"/>
        <v>Passa</v>
      </c>
      <c r="P325" s="35" t="str">
        <f t="shared" si="10"/>
        <v>Passa</v>
      </c>
      <c r="Q325" s="38">
        <f>IF(AND(O325="Negada",P325="Negada"),0,IF(A325="Ativo",M325*0.08,0))</f>
        <v>0</v>
      </c>
    </row>
    <row r="326" spans="1:17" ht="15.75" customHeight="1">
      <c r="A326" s="35" t="s">
        <v>77</v>
      </c>
      <c r="B326" s="35" t="s">
        <v>713</v>
      </c>
      <c r="C326" s="35" t="s">
        <v>714</v>
      </c>
      <c r="D326" s="35" t="str">
        <f t="shared" si="11"/>
        <v>000.000.367-00</v>
      </c>
      <c r="E326" s="36">
        <v>21497</v>
      </c>
      <c r="F326" s="37">
        <v>67</v>
      </c>
      <c r="G326" s="35" t="s">
        <v>92</v>
      </c>
      <c r="H326" s="35" t="s">
        <v>93</v>
      </c>
      <c r="I326" s="38">
        <v>21600</v>
      </c>
      <c r="J326" s="38">
        <v>73500</v>
      </c>
      <c r="K326" s="35" t="s">
        <v>50</v>
      </c>
      <c r="L326" s="37">
        <v>7</v>
      </c>
      <c r="M326" s="38">
        <v>24500</v>
      </c>
      <c r="N326" s="35" t="str">
        <f t="shared" si="9"/>
        <v>Baixo</v>
      </c>
      <c r="O326" s="35" t="str">
        <f t="shared" si="7"/>
        <v>Passa</v>
      </c>
      <c r="P326" s="35" t="str">
        <f t="shared" si="10"/>
        <v>Negada</v>
      </c>
      <c r="Q326" s="38">
        <f>IF(AND(O326="Negada",P326="Negada"),0,IF(A326="Ativo",M326*0.08,0))</f>
        <v>1960</v>
      </c>
    </row>
    <row r="327" spans="1:17" ht="15.75" customHeight="1">
      <c r="A327" s="35" t="s">
        <v>77</v>
      </c>
      <c r="B327" s="35" t="s">
        <v>715</v>
      </c>
      <c r="C327" s="35" t="s">
        <v>716</v>
      </c>
      <c r="D327" s="35" t="str">
        <f t="shared" si="11"/>
        <v>000.000.149-00</v>
      </c>
      <c r="E327" s="36">
        <v>26230</v>
      </c>
      <c r="F327" s="37">
        <v>54</v>
      </c>
      <c r="G327" s="35" t="s">
        <v>146</v>
      </c>
      <c r="H327" s="35" t="s">
        <v>128</v>
      </c>
      <c r="I327" s="38">
        <v>18700</v>
      </c>
      <c r="J327" s="38">
        <v>46000</v>
      </c>
      <c r="K327" s="35" t="s">
        <v>50</v>
      </c>
      <c r="L327" s="37">
        <v>4</v>
      </c>
      <c r="M327" s="38">
        <v>27500</v>
      </c>
      <c r="N327" s="35" t="str">
        <f t="shared" si="9"/>
        <v>Baixo</v>
      </c>
      <c r="O327" s="35" t="str">
        <f t="shared" si="7"/>
        <v>Passa</v>
      </c>
      <c r="P327" s="35" t="str">
        <f t="shared" si="10"/>
        <v>Passa</v>
      </c>
      <c r="Q327" s="38">
        <f>IF(AND(O327="Negada",P327="Negada"),0,IF(A327="Ativo",M327*0.08,0))</f>
        <v>2200</v>
      </c>
    </row>
    <row r="328" spans="1:17" ht="15.75" customHeight="1">
      <c r="A328" s="35" t="s">
        <v>77</v>
      </c>
      <c r="B328" s="35" t="s">
        <v>395</v>
      </c>
      <c r="C328" s="35" t="s">
        <v>396</v>
      </c>
      <c r="D328" s="35" t="str">
        <f t="shared" si="11"/>
        <v>000.000.369-00</v>
      </c>
      <c r="E328" s="36">
        <v>23928</v>
      </c>
      <c r="F328" s="37">
        <v>61</v>
      </c>
      <c r="G328" s="35" t="s">
        <v>269</v>
      </c>
      <c r="H328" s="35" t="s">
        <v>85</v>
      </c>
      <c r="I328" s="38">
        <v>22900</v>
      </c>
      <c r="J328" s="38">
        <v>7500</v>
      </c>
      <c r="K328" s="35" t="s">
        <v>49</v>
      </c>
      <c r="L328" s="37">
        <v>12</v>
      </c>
      <c r="M328" s="38">
        <v>33000</v>
      </c>
      <c r="N328" s="35" t="str">
        <f t="shared" si="9"/>
        <v>Médio</v>
      </c>
      <c r="O328" s="35" t="str">
        <f t="shared" si="7"/>
        <v>Passa</v>
      </c>
      <c r="P328" s="35" t="str">
        <f t="shared" si="10"/>
        <v>Passa</v>
      </c>
      <c r="Q328" s="38">
        <f>IF(AND(O328="Negada",P328="Negada"),0,IF(A328="Ativo",M328*0.08,0))</f>
        <v>2640</v>
      </c>
    </row>
    <row r="329" spans="1:17" ht="15.75" customHeight="1">
      <c r="A329" s="35" t="s">
        <v>77</v>
      </c>
      <c r="B329" s="35" t="s">
        <v>713</v>
      </c>
      <c r="C329" s="35" t="s">
        <v>717</v>
      </c>
      <c r="D329" s="35" t="str">
        <f t="shared" si="11"/>
        <v>000.000.010-00</v>
      </c>
      <c r="E329" s="36">
        <v>24054</v>
      </c>
      <c r="F329" s="37">
        <v>60</v>
      </c>
      <c r="G329" s="35" t="s">
        <v>80</v>
      </c>
      <c r="H329" s="35" t="s">
        <v>81</v>
      </c>
      <c r="I329" s="38">
        <v>22600</v>
      </c>
      <c r="J329" s="38">
        <v>80000</v>
      </c>
      <c r="K329" s="35" t="s">
        <v>49</v>
      </c>
      <c r="L329" s="37">
        <v>9</v>
      </c>
      <c r="M329" s="38">
        <v>58500</v>
      </c>
      <c r="N329" s="35" t="str">
        <f t="shared" si="9"/>
        <v>Baixo</v>
      </c>
      <c r="O329" s="35" t="str">
        <f t="shared" si="7"/>
        <v>Passa</v>
      </c>
      <c r="P329" s="35" t="str">
        <f t="shared" si="10"/>
        <v>Passa</v>
      </c>
      <c r="Q329" s="38">
        <f>IF(AND(O329="Negada",P329="Negada"),0,IF(A329="Ativo",M329*0.08,0))</f>
        <v>4680</v>
      </c>
    </row>
    <row r="330" spans="1:17" ht="15.75" customHeight="1">
      <c r="A330" s="35" t="s">
        <v>77</v>
      </c>
      <c r="B330" s="35" t="s">
        <v>296</v>
      </c>
      <c r="C330" s="35" t="s">
        <v>718</v>
      </c>
      <c r="D330" s="35" t="str">
        <f t="shared" si="11"/>
        <v>000.000.360-00</v>
      </c>
      <c r="E330" s="36">
        <v>36573</v>
      </c>
      <c r="F330" s="37">
        <v>26</v>
      </c>
      <c r="G330" s="35" t="s">
        <v>127</v>
      </c>
      <c r="H330" s="35" t="s">
        <v>128</v>
      </c>
      <c r="I330" s="38">
        <v>4800</v>
      </c>
      <c r="J330" s="38">
        <v>48500</v>
      </c>
      <c r="K330" s="35" t="s">
        <v>50</v>
      </c>
      <c r="L330" s="37">
        <v>6</v>
      </c>
      <c r="M330" s="38">
        <v>56500</v>
      </c>
      <c r="N330" s="35" t="str">
        <f t="shared" si="9"/>
        <v>Baixo</v>
      </c>
      <c r="O330" s="35" t="str">
        <f t="shared" si="7"/>
        <v>Passa</v>
      </c>
      <c r="P330" s="35" t="str">
        <f t="shared" si="10"/>
        <v>Passa</v>
      </c>
      <c r="Q330" s="38">
        <f>IF(AND(O330="Negada",P330="Negada"),0,IF(A330="Ativo",M330*0.08,0))</f>
        <v>4520</v>
      </c>
    </row>
    <row r="331" spans="1:17" ht="15.75" customHeight="1">
      <c r="A331" s="35" t="s">
        <v>82</v>
      </c>
      <c r="B331" s="35" t="s">
        <v>719</v>
      </c>
      <c r="C331" s="35" t="s">
        <v>720</v>
      </c>
      <c r="D331" s="35" t="str">
        <f t="shared" si="11"/>
        <v>000.000.325-00</v>
      </c>
      <c r="E331" s="36">
        <v>28446</v>
      </c>
      <c r="F331" s="37">
        <v>48</v>
      </c>
      <c r="G331" s="35" t="s">
        <v>88</v>
      </c>
      <c r="H331" s="35" t="s">
        <v>89</v>
      </c>
      <c r="I331" s="38">
        <v>6900</v>
      </c>
      <c r="J331" s="38">
        <v>52500</v>
      </c>
      <c r="K331" s="35" t="s">
        <v>50</v>
      </c>
      <c r="L331" s="37">
        <v>0</v>
      </c>
      <c r="M331" s="38">
        <v>66000</v>
      </c>
      <c r="N331" s="35" t="str">
        <f t="shared" si="9"/>
        <v>Baixo</v>
      </c>
      <c r="O331" s="35" t="str">
        <f t="shared" si="7"/>
        <v>Passa</v>
      </c>
      <c r="P331" s="35" t="str">
        <f t="shared" si="10"/>
        <v>Negada</v>
      </c>
      <c r="Q331" s="38">
        <f>IF(AND(O331="Negada",P331="Negada"),0,IF(A331="Ativo",M331*0.08,0))</f>
        <v>0</v>
      </c>
    </row>
    <row r="332" spans="1:17" ht="15.75" customHeight="1">
      <c r="A332" s="35" t="s">
        <v>77</v>
      </c>
      <c r="B332" s="35" t="s">
        <v>721</v>
      </c>
      <c r="C332" s="35" t="s">
        <v>722</v>
      </c>
      <c r="D332" s="35" t="str">
        <f t="shared" si="11"/>
        <v>000.000.199-00</v>
      </c>
      <c r="E332" s="36"/>
      <c r="F332" s="37">
        <v>69</v>
      </c>
      <c r="G332" s="35" t="s">
        <v>269</v>
      </c>
      <c r="H332" s="35" t="s">
        <v>85</v>
      </c>
      <c r="I332" s="38">
        <v>11400</v>
      </c>
      <c r="J332" s="38">
        <v>0</v>
      </c>
      <c r="K332" s="35" t="s">
        <v>50</v>
      </c>
      <c r="L332" s="37">
        <v>13</v>
      </c>
      <c r="M332" s="38">
        <v>79000</v>
      </c>
      <c r="N332" s="35" t="str">
        <f t="shared" si="9"/>
        <v>Médio</v>
      </c>
      <c r="O332" s="35" t="str">
        <f t="shared" si="7"/>
        <v>Passa</v>
      </c>
      <c r="P332" s="35" t="str">
        <f t="shared" si="10"/>
        <v>Passa</v>
      </c>
      <c r="Q332" s="38">
        <f>IF(AND(O332="Negada",P332="Negada"),0,IF(A332="Ativo",M332*0.08,0))</f>
        <v>6320</v>
      </c>
    </row>
    <row r="333" spans="1:17" ht="15.75" customHeight="1">
      <c r="A333" s="35" t="s">
        <v>77</v>
      </c>
      <c r="B333" s="35" t="s">
        <v>131</v>
      </c>
      <c r="C333" s="35" t="s">
        <v>132</v>
      </c>
      <c r="D333" s="35" t="str">
        <f t="shared" si="11"/>
        <v>000.000.223-00</v>
      </c>
      <c r="E333" s="36">
        <v>36831</v>
      </c>
      <c r="F333" s="37">
        <v>25</v>
      </c>
      <c r="G333" s="35" t="s">
        <v>133</v>
      </c>
      <c r="H333" s="35" t="s">
        <v>134</v>
      </c>
      <c r="I333" s="38">
        <v>9400</v>
      </c>
      <c r="J333" s="38">
        <v>51500</v>
      </c>
      <c r="K333" s="35" t="s">
        <v>49</v>
      </c>
      <c r="L333" s="37">
        <v>14</v>
      </c>
      <c r="M333" s="38">
        <v>74000</v>
      </c>
      <c r="N333" s="35" t="str">
        <f t="shared" si="9"/>
        <v>Médio</v>
      </c>
      <c r="O333" s="35" t="str">
        <f t="shared" si="7"/>
        <v>Passa</v>
      </c>
      <c r="P333" s="35" t="str">
        <f t="shared" si="10"/>
        <v>Passa</v>
      </c>
      <c r="Q333" s="38">
        <f>IF(AND(O333="Negada",P333="Negada"),0,IF(A333="Ativo",M333*0.08,0))</f>
        <v>5920</v>
      </c>
    </row>
    <row r="334" spans="1:17" ht="15.75" customHeight="1">
      <c r="A334" s="35" t="s">
        <v>77</v>
      </c>
      <c r="B334" s="35" t="s">
        <v>723</v>
      </c>
      <c r="C334" s="35" t="s">
        <v>724</v>
      </c>
      <c r="D334" s="35" t="str">
        <f t="shared" si="11"/>
        <v>000.000.164-00</v>
      </c>
      <c r="E334" s="36">
        <v>23317</v>
      </c>
      <c r="F334" s="37">
        <v>62</v>
      </c>
      <c r="G334" s="35" t="s">
        <v>153</v>
      </c>
      <c r="H334" s="35" t="s">
        <v>128</v>
      </c>
      <c r="I334" s="38">
        <v>10500</v>
      </c>
      <c r="J334" s="38">
        <v>0</v>
      </c>
      <c r="K334" s="35" t="s">
        <v>50</v>
      </c>
      <c r="L334" s="37">
        <v>4</v>
      </c>
      <c r="M334" s="38">
        <v>54500</v>
      </c>
      <c r="N334" s="35" t="str">
        <f t="shared" si="9"/>
        <v>Baixo</v>
      </c>
      <c r="O334" s="35" t="str">
        <f t="shared" si="7"/>
        <v>Passa</v>
      </c>
      <c r="P334" s="35" t="str">
        <f t="shared" si="10"/>
        <v>Passa</v>
      </c>
      <c r="Q334" s="38">
        <f>IF(AND(O334="Negada",P334="Negada"),0,IF(A334="Ativo",M334*0.08,0))</f>
        <v>4360</v>
      </c>
    </row>
    <row r="335" spans="1:17" ht="15.75" customHeight="1">
      <c r="A335" s="35" t="s">
        <v>77</v>
      </c>
      <c r="B335" s="35" t="s">
        <v>725</v>
      </c>
      <c r="C335" s="35" t="s">
        <v>726</v>
      </c>
      <c r="D335" s="35" t="str">
        <f t="shared" si="11"/>
        <v>000.000.257-00</v>
      </c>
      <c r="E335" s="36">
        <v>36152</v>
      </c>
      <c r="F335" s="37">
        <v>27</v>
      </c>
      <c r="G335" s="35" t="s">
        <v>156</v>
      </c>
      <c r="H335" s="35" t="s">
        <v>134</v>
      </c>
      <c r="I335" s="38">
        <v>30000</v>
      </c>
      <c r="J335" s="38">
        <v>27000</v>
      </c>
      <c r="K335" s="35" t="s">
        <v>49</v>
      </c>
      <c r="L335" s="37">
        <v>28</v>
      </c>
      <c r="M335" s="38">
        <v>28500</v>
      </c>
      <c r="N335" s="35" t="str">
        <f t="shared" si="9"/>
        <v>Alto</v>
      </c>
      <c r="O335" s="35" t="str">
        <f t="shared" si="7"/>
        <v>Passa</v>
      </c>
      <c r="P335" s="35" t="str">
        <f t="shared" si="10"/>
        <v>Passa</v>
      </c>
      <c r="Q335" s="38">
        <f>IF(AND(O335="Negada",P335="Negada"),0,IF(A335="Ativo",M335*0.08,0))</f>
        <v>2280</v>
      </c>
    </row>
    <row r="336" spans="1:17" ht="15.75" customHeight="1">
      <c r="A336" s="35" t="s">
        <v>77</v>
      </c>
      <c r="B336" s="35" t="s">
        <v>727</v>
      </c>
      <c r="C336" s="35" t="s">
        <v>728</v>
      </c>
      <c r="D336" s="35" t="str">
        <f t="shared" si="11"/>
        <v>000.000.071-00</v>
      </c>
      <c r="E336" s="36">
        <v>34769</v>
      </c>
      <c r="F336" s="37">
        <v>31</v>
      </c>
      <c r="G336" s="35" t="s">
        <v>98</v>
      </c>
      <c r="H336" s="35" t="s">
        <v>99</v>
      </c>
      <c r="I336" s="38">
        <v>9000</v>
      </c>
      <c r="J336" s="38">
        <v>66000</v>
      </c>
      <c r="K336" s="35" t="s">
        <v>49</v>
      </c>
      <c r="L336" s="37">
        <v>24</v>
      </c>
      <c r="M336" s="38">
        <v>72000</v>
      </c>
      <c r="N336" s="35" t="str">
        <f t="shared" si="9"/>
        <v>Médio</v>
      </c>
      <c r="O336" s="35" t="str">
        <f t="shared" si="7"/>
        <v>Passa</v>
      </c>
      <c r="P336" s="35" t="str">
        <f t="shared" si="10"/>
        <v>Passa</v>
      </c>
      <c r="Q336" s="38">
        <f>IF(AND(O336="Negada",P336="Negada"),0,IF(A336="Ativo",M336*0.08,0))</f>
        <v>5760</v>
      </c>
    </row>
    <row r="337" spans="1:17" ht="15.75" customHeight="1">
      <c r="A337" s="35" t="s">
        <v>82</v>
      </c>
      <c r="B337" s="35" t="s">
        <v>235</v>
      </c>
      <c r="C337" s="35" t="s">
        <v>729</v>
      </c>
      <c r="D337" s="35" t="str">
        <f t="shared" si="11"/>
        <v>000.000.079-00</v>
      </c>
      <c r="E337" s="36">
        <v>22275</v>
      </c>
      <c r="F337" s="37">
        <v>65</v>
      </c>
      <c r="G337" s="35" t="s">
        <v>80</v>
      </c>
      <c r="H337" s="35" t="s">
        <v>81</v>
      </c>
      <c r="I337" s="38">
        <v>3300</v>
      </c>
      <c r="J337" s="38">
        <v>43500</v>
      </c>
      <c r="K337" s="35" t="s">
        <v>49</v>
      </c>
      <c r="L337" s="37">
        <v>27</v>
      </c>
      <c r="M337" s="38">
        <v>23500</v>
      </c>
      <c r="N337" s="35" t="str">
        <f t="shared" si="9"/>
        <v>Alto</v>
      </c>
      <c r="O337" s="35" t="str">
        <f t="shared" si="7"/>
        <v>Passa</v>
      </c>
      <c r="P337" s="35" t="str">
        <f t="shared" si="10"/>
        <v>Passa</v>
      </c>
      <c r="Q337" s="38">
        <f>IF(AND(O337="Negada",P337="Negada"),0,IF(A337="Ativo",M337*0.08,0))</f>
        <v>0</v>
      </c>
    </row>
    <row r="338" spans="1:17" ht="15.75" customHeight="1">
      <c r="A338" s="35" t="s">
        <v>77</v>
      </c>
      <c r="B338" s="35" t="s">
        <v>730</v>
      </c>
      <c r="C338" s="35" t="s">
        <v>731</v>
      </c>
      <c r="D338" s="35" t="str">
        <f t="shared" si="11"/>
        <v>000.000.120-00</v>
      </c>
      <c r="E338" s="36">
        <v>35392</v>
      </c>
      <c r="F338" s="37">
        <v>29</v>
      </c>
      <c r="G338" s="35" t="s">
        <v>215</v>
      </c>
      <c r="H338" s="35" t="s">
        <v>216</v>
      </c>
      <c r="I338" s="38">
        <v>6400</v>
      </c>
      <c r="J338" s="38">
        <v>19500</v>
      </c>
      <c r="K338" s="35" t="s">
        <v>49</v>
      </c>
      <c r="L338" s="37">
        <v>30</v>
      </c>
      <c r="M338" s="38">
        <v>51000</v>
      </c>
      <c r="N338" s="35" t="str">
        <f t="shared" si="9"/>
        <v>Alto</v>
      </c>
      <c r="O338" s="35" t="str">
        <f t="shared" si="7"/>
        <v>Passa</v>
      </c>
      <c r="P338" s="35" t="str">
        <f t="shared" si="10"/>
        <v>Passa</v>
      </c>
      <c r="Q338" s="38">
        <f>IF(AND(O338="Negada",P338="Negada"),0,IF(A338="Ativo",M338*0.08,0))</f>
        <v>4080</v>
      </c>
    </row>
    <row r="339" spans="1:17" ht="15.75" customHeight="1">
      <c r="A339" s="35" t="s">
        <v>77</v>
      </c>
      <c r="B339" s="35" t="s">
        <v>732</v>
      </c>
      <c r="C339" s="35" t="s">
        <v>733</v>
      </c>
      <c r="D339" s="35" t="str">
        <f t="shared" si="11"/>
        <v>000.000.113-00</v>
      </c>
      <c r="E339" s="36">
        <v>25844</v>
      </c>
      <c r="F339" s="37">
        <v>55</v>
      </c>
      <c r="G339" s="35" t="s">
        <v>156</v>
      </c>
      <c r="H339" s="35" t="s">
        <v>134</v>
      </c>
      <c r="I339" s="38">
        <v>17400</v>
      </c>
      <c r="J339" s="38">
        <v>75500</v>
      </c>
      <c r="K339" s="35" t="s">
        <v>49</v>
      </c>
      <c r="L339" s="37">
        <v>9</v>
      </c>
      <c r="M339" s="38">
        <v>52000</v>
      </c>
      <c r="N339" s="35" t="str">
        <f t="shared" si="9"/>
        <v>Baixo</v>
      </c>
      <c r="O339" s="35" t="str">
        <f t="shared" si="7"/>
        <v>Passa</v>
      </c>
      <c r="P339" s="35" t="str">
        <f t="shared" si="10"/>
        <v>Passa</v>
      </c>
      <c r="Q339" s="38">
        <f>IF(AND(O339="Negada",P339="Negada"),0,IF(A339="Ativo",M339*0.08,0))</f>
        <v>4160</v>
      </c>
    </row>
    <row r="340" spans="1:17" ht="15.75" customHeight="1">
      <c r="A340" s="35" t="s">
        <v>82</v>
      </c>
      <c r="B340" s="35" t="s">
        <v>558</v>
      </c>
      <c r="C340" s="35" t="s">
        <v>734</v>
      </c>
      <c r="D340" s="35" t="str">
        <f t="shared" si="11"/>
        <v>000.000.340-00</v>
      </c>
      <c r="E340" s="36">
        <v>32118</v>
      </c>
      <c r="F340" s="37">
        <v>38</v>
      </c>
      <c r="G340" s="35" t="s">
        <v>84</v>
      </c>
      <c r="H340" s="35" t="s">
        <v>85</v>
      </c>
      <c r="I340" s="38">
        <v>15800</v>
      </c>
      <c r="J340" s="38">
        <v>14500</v>
      </c>
      <c r="K340" s="35" t="s">
        <v>49</v>
      </c>
      <c r="L340" s="37">
        <v>4</v>
      </c>
      <c r="M340" s="38">
        <v>21000</v>
      </c>
      <c r="N340" s="35" t="str">
        <f t="shared" si="9"/>
        <v>Baixo</v>
      </c>
      <c r="O340" s="35" t="str">
        <f t="shared" si="7"/>
        <v>Passa</v>
      </c>
      <c r="P340" s="35" t="str">
        <f t="shared" si="10"/>
        <v>Passa</v>
      </c>
      <c r="Q340" s="38">
        <f>IF(AND(O340="Negada",P340="Negada"),0,IF(A340="Ativo",M340*0.08,0))</f>
        <v>0</v>
      </c>
    </row>
    <row r="341" spans="1:17" ht="15.75" customHeight="1">
      <c r="A341" s="35" t="s">
        <v>77</v>
      </c>
      <c r="B341" s="35" t="s">
        <v>735</v>
      </c>
      <c r="C341" s="35" t="s">
        <v>736</v>
      </c>
      <c r="D341" s="35" t="str">
        <f t="shared" si="11"/>
        <v>000.000.022-00</v>
      </c>
      <c r="E341" s="36">
        <v>24840</v>
      </c>
      <c r="F341" s="37">
        <v>58</v>
      </c>
      <c r="G341" s="35" t="s">
        <v>215</v>
      </c>
      <c r="H341" s="35" t="s">
        <v>216</v>
      </c>
      <c r="I341" s="38">
        <v>2800</v>
      </c>
      <c r="J341" s="38">
        <v>35000</v>
      </c>
      <c r="K341" s="35" t="s">
        <v>49</v>
      </c>
      <c r="L341" s="37">
        <v>36</v>
      </c>
      <c r="M341" s="38">
        <v>9000</v>
      </c>
      <c r="N341" s="35" t="str">
        <f t="shared" si="9"/>
        <v>Alto</v>
      </c>
      <c r="O341" s="35" t="str">
        <f t="shared" si="7"/>
        <v>Passa</v>
      </c>
      <c r="P341" s="35" t="str">
        <f t="shared" si="10"/>
        <v>Passa</v>
      </c>
      <c r="Q341" s="38">
        <f>IF(AND(O341="Negada",P341="Negada"),0,IF(A341="Ativo",M341*0.08,0))</f>
        <v>720</v>
      </c>
    </row>
    <row r="342" spans="1:17" ht="15.75" customHeight="1">
      <c r="A342" s="35" t="s">
        <v>77</v>
      </c>
      <c r="B342" s="35" t="s">
        <v>737</v>
      </c>
      <c r="C342" s="35" t="s">
        <v>738</v>
      </c>
      <c r="D342" s="35" t="str">
        <f t="shared" si="11"/>
        <v>000.000.246-00</v>
      </c>
      <c r="E342" s="36">
        <v>35600</v>
      </c>
      <c r="F342" s="37">
        <v>29</v>
      </c>
      <c r="G342" s="35" t="s">
        <v>151</v>
      </c>
      <c r="H342" s="35" t="s">
        <v>124</v>
      </c>
      <c r="I342" s="38">
        <v>9600</v>
      </c>
      <c r="J342" s="38">
        <v>41000</v>
      </c>
      <c r="K342" s="35" t="s">
        <v>49</v>
      </c>
      <c r="L342" s="37">
        <v>27</v>
      </c>
      <c r="M342" s="38">
        <v>25000</v>
      </c>
      <c r="N342" s="35" t="str">
        <f t="shared" si="9"/>
        <v>Alto</v>
      </c>
      <c r="O342" s="35" t="str">
        <f t="shared" si="7"/>
        <v>Passa</v>
      </c>
      <c r="P342" s="35" t="str">
        <f t="shared" si="10"/>
        <v>Passa</v>
      </c>
      <c r="Q342" s="38">
        <f>IF(AND(O342="Negada",P342="Negada"),0,IF(A342="Ativo",M342*0.08,0))</f>
        <v>2000</v>
      </c>
    </row>
    <row r="343" spans="1:17" ht="15.75" customHeight="1">
      <c r="A343" s="35" t="s">
        <v>82</v>
      </c>
      <c r="B343" s="35" t="s">
        <v>739</v>
      </c>
      <c r="C343" s="35" t="s">
        <v>740</v>
      </c>
      <c r="D343" s="35" t="str">
        <f t="shared" si="11"/>
        <v>000.000.116-00</v>
      </c>
      <c r="E343" s="36">
        <v>32890</v>
      </c>
      <c r="F343" s="37">
        <v>36</v>
      </c>
      <c r="G343" s="35" t="s">
        <v>123</v>
      </c>
      <c r="H343" s="35" t="s">
        <v>124</v>
      </c>
      <c r="I343" s="38">
        <v>28100</v>
      </c>
      <c r="J343" s="38">
        <v>36500</v>
      </c>
      <c r="K343" s="35" t="s">
        <v>49</v>
      </c>
      <c r="L343" s="37">
        <v>13</v>
      </c>
      <c r="M343" s="38">
        <v>5000</v>
      </c>
      <c r="N343" s="35" t="str">
        <f t="shared" si="9"/>
        <v>Médio</v>
      </c>
      <c r="O343" s="35" t="str">
        <f t="shared" si="7"/>
        <v>Passa</v>
      </c>
      <c r="P343" s="35" t="str">
        <f t="shared" si="10"/>
        <v>Passa</v>
      </c>
      <c r="Q343" s="38">
        <f>IF(AND(O343="Negada",P343="Negada"),0,IF(A343="Ativo",M343*0.08,0))</f>
        <v>0</v>
      </c>
    </row>
    <row r="344" spans="1:17" ht="15.75" customHeight="1">
      <c r="A344" s="35" t="s">
        <v>82</v>
      </c>
      <c r="B344" s="35" t="s">
        <v>648</v>
      </c>
      <c r="C344" s="35" t="s">
        <v>741</v>
      </c>
      <c r="D344" s="35" t="str">
        <f t="shared" si="11"/>
        <v>000.000.203-00</v>
      </c>
      <c r="E344" s="36">
        <v>29427</v>
      </c>
      <c r="F344" s="37">
        <v>46</v>
      </c>
      <c r="G344" s="35" t="s">
        <v>151</v>
      </c>
      <c r="H344" s="35" t="s">
        <v>124</v>
      </c>
      <c r="I344" s="38"/>
      <c r="J344" s="38">
        <v>37500</v>
      </c>
      <c r="K344" s="35" t="s">
        <v>49</v>
      </c>
      <c r="L344" s="37"/>
      <c r="M344" s="38">
        <v>77000</v>
      </c>
      <c r="N344" s="35" t="str">
        <f t="shared" si="9"/>
        <v/>
      </c>
      <c r="O344" s="35" t="str">
        <f t="shared" si="7"/>
        <v>Passa</v>
      </c>
      <c r="P344" s="35" t="str">
        <f t="shared" si="10"/>
        <v>Passa</v>
      </c>
      <c r="Q344" s="38">
        <f>IF(AND(O344="Negada",P344="Negada"),0,IF(A344="Ativo",M344*0.08,0))</f>
        <v>0</v>
      </c>
    </row>
    <row r="345" spans="1:17" ht="15.75" customHeight="1">
      <c r="A345" s="35" t="s">
        <v>82</v>
      </c>
      <c r="B345" s="35" t="s">
        <v>311</v>
      </c>
      <c r="C345" s="35" t="s">
        <v>312</v>
      </c>
      <c r="D345" s="35" t="str">
        <f t="shared" si="11"/>
        <v>000.000.027-00</v>
      </c>
      <c r="E345" s="36">
        <v>35200</v>
      </c>
      <c r="F345" s="37">
        <v>30</v>
      </c>
      <c r="G345" s="35" t="s">
        <v>114</v>
      </c>
      <c r="H345" s="35" t="s">
        <v>109</v>
      </c>
      <c r="I345" s="38">
        <v>26500</v>
      </c>
      <c r="J345" s="38">
        <v>14500</v>
      </c>
      <c r="K345" s="35" t="s">
        <v>49</v>
      </c>
      <c r="L345" s="37">
        <v>15</v>
      </c>
      <c r="M345" s="38">
        <v>39000</v>
      </c>
      <c r="N345" s="35" t="str">
        <f t="shared" si="9"/>
        <v>Médio</v>
      </c>
      <c r="O345" s="35" t="str">
        <f t="shared" si="7"/>
        <v>Passa</v>
      </c>
      <c r="P345" s="35" t="str">
        <f t="shared" si="10"/>
        <v>Passa</v>
      </c>
      <c r="Q345" s="38">
        <f>IF(AND(O345="Negada",P345="Negada"),0,IF(A345="Ativo",M345*0.08,0))</f>
        <v>0</v>
      </c>
    </row>
    <row r="346" spans="1:17" ht="15.75" customHeight="1">
      <c r="A346" s="35" t="s">
        <v>77</v>
      </c>
      <c r="B346" s="35" t="s">
        <v>742</v>
      </c>
      <c r="C346" s="35" t="s">
        <v>743</v>
      </c>
      <c r="D346" s="35" t="str">
        <f t="shared" si="11"/>
        <v>000.000.013-00</v>
      </c>
      <c r="E346" s="36">
        <v>24202</v>
      </c>
      <c r="F346" s="37">
        <v>60</v>
      </c>
      <c r="G346" s="35" t="s">
        <v>269</v>
      </c>
      <c r="H346" s="35" t="s">
        <v>85</v>
      </c>
      <c r="I346" s="38">
        <v>5500</v>
      </c>
      <c r="J346" s="38">
        <v>0</v>
      </c>
      <c r="K346" s="35" t="s">
        <v>49</v>
      </c>
      <c r="L346" s="37">
        <v>26</v>
      </c>
      <c r="M346" s="38">
        <v>52500</v>
      </c>
      <c r="N346" s="35" t="str">
        <f t="shared" si="9"/>
        <v>Alto</v>
      </c>
      <c r="O346" s="35" t="str">
        <f t="shared" si="7"/>
        <v>Passa</v>
      </c>
      <c r="P346" s="35" t="str">
        <f t="shared" si="10"/>
        <v>Passa</v>
      </c>
      <c r="Q346" s="38">
        <f>IF(AND(O346="Negada",P346="Negada"),0,IF(A346="Ativo",M346*0.08,0))</f>
        <v>4200</v>
      </c>
    </row>
    <row r="347" spans="1:17" ht="15.75" customHeight="1">
      <c r="A347" s="35" t="s">
        <v>77</v>
      </c>
      <c r="B347" s="35" t="s">
        <v>744</v>
      </c>
      <c r="C347" s="35" t="s">
        <v>745</v>
      </c>
      <c r="D347" s="35" t="str">
        <f t="shared" si="11"/>
        <v>000.000.286-00</v>
      </c>
      <c r="E347" s="36">
        <v>30437</v>
      </c>
      <c r="F347" s="37">
        <v>43</v>
      </c>
      <c r="G347" s="35" t="s">
        <v>197</v>
      </c>
      <c r="H347" s="35" t="s">
        <v>89</v>
      </c>
      <c r="I347" s="38">
        <v>14600</v>
      </c>
      <c r="J347" s="38">
        <v>18500</v>
      </c>
      <c r="K347" s="35" t="s">
        <v>50</v>
      </c>
      <c r="L347" s="37">
        <v>22</v>
      </c>
      <c r="M347" s="38">
        <v>16500</v>
      </c>
      <c r="N347" s="35" t="str">
        <f t="shared" si="9"/>
        <v>Médio</v>
      </c>
      <c r="O347" s="35" t="str">
        <f t="shared" si="7"/>
        <v>Passa</v>
      </c>
      <c r="P347" s="35" t="str">
        <f t="shared" si="10"/>
        <v>Passa</v>
      </c>
      <c r="Q347" s="38">
        <f>IF(AND(O347="Negada",P347="Negada"),0,IF(A347="Ativo",M347*0.08,0))</f>
        <v>1320</v>
      </c>
    </row>
    <row r="348" spans="1:17" ht="15.75" customHeight="1">
      <c r="A348" s="35" t="s">
        <v>77</v>
      </c>
      <c r="B348" s="35" t="s">
        <v>673</v>
      </c>
      <c r="C348" s="35" t="s">
        <v>674</v>
      </c>
      <c r="D348" s="35" t="str">
        <f t="shared" si="11"/>
        <v>000.000.331-00</v>
      </c>
      <c r="E348" s="36">
        <v>36759</v>
      </c>
      <c r="F348" s="37">
        <v>26</v>
      </c>
      <c r="G348" s="35" t="s">
        <v>165</v>
      </c>
      <c r="H348" s="35" t="s">
        <v>165</v>
      </c>
      <c r="I348" s="38">
        <v>23200</v>
      </c>
      <c r="J348" s="38">
        <v>54500</v>
      </c>
      <c r="K348" s="35" t="s">
        <v>50</v>
      </c>
      <c r="L348" s="37">
        <v>26</v>
      </c>
      <c r="M348" s="38">
        <v>39500</v>
      </c>
      <c r="N348" s="35" t="str">
        <f t="shared" si="9"/>
        <v>Alto</v>
      </c>
      <c r="O348" s="35" t="str">
        <f t="shared" si="7"/>
        <v>Negada</v>
      </c>
      <c r="P348" s="35" t="str">
        <f t="shared" si="10"/>
        <v>Negada</v>
      </c>
      <c r="Q348" s="38">
        <f>IF(AND(O348="Negada",P348="Negada"),0,IF(A348="Ativo",M348*0.08,0))</f>
        <v>0</v>
      </c>
    </row>
    <row r="349" spans="1:17" ht="15.75" customHeight="1">
      <c r="A349" s="35" t="s">
        <v>77</v>
      </c>
      <c r="B349" s="35" t="s">
        <v>352</v>
      </c>
      <c r="C349" s="35" t="s">
        <v>353</v>
      </c>
      <c r="D349" s="35" t="str">
        <f t="shared" si="11"/>
        <v>000.000.314-00</v>
      </c>
      <c r="E349" s="36">
        <v>26584</v>
      </c>
      <c r="F349" s="37">
        <v>53</v>
      </c>
      <c r="G349" s="35" t="s">
        <v>146</v>
      </c>
      <c r="H349" s="35" t="s">
        <v>128</v>
      </c>
      <c r="I349" s="38">
        <v>12200</v>
      </c>
      <c r="J349" s="38">
        <v>79500</v>
      </c>
      <c r="K349" s="35" t="s">
        <v>49</v>
      </c>
      <c r="L349" s="37">
        <v>45</v>
      </c>
      <c r="M349" s="38">
        <v>62000</v>
      </c>
      <c r="N349" s="35" t="str">
        <f t="shared" si="9"/>
        <v>Alto</v>
      </c>
      <c r="O349" s="35" t="str">
        <f t="shared" si="7"/>
        <v>Passa</v>
      </c>
      <c r="P349" s="35" t="str">
        <f t="shared" si="10"/>
        <v>Passa</v>
      </c>
      <c r="Q349" s="38">
        <f>IF(AND(O349="Negada",P349="Negada"),0,IF(A349="Ativo",M349*0.08,0))</f>
        <v>4960</v>
      </c>
    </row>
    <row r="350" spans="1:17" ht="15.75" customHeight="1">
      <c r="A350" s="35" t="s">
        <v>77</v>
      </c>
      <c r="B350" s="35" t="s">
        <v>746</v>
      </c>
      <c r="C350" s="35" t="s">
        <v>747</v>
      </c>
      <c r="D350" s="35" t="str">
        <f t="shared" si="11"/>
        <v>000.000.123-00</v>
      </c>
      <c r="E350" s="36">
        <v>39209</v>
      </c>
      <c r="F350" s="37">
        <v>19</v>
      </c>
      <c r="G350" s="35" t="s">
        <v>190</v>
      </c>
      <c r="H350" s="35" t="s">
        <v>134</v>
      </c>
      <c r="I350" s="38">
        <v>7200</v>
      </c>
      <c r="J350" s="38">
        <v>16000</v>
      </c>
      <c r="K350" s="35" t="s">
        <v>49</v>
      </c>
      <c r="L350" s="37">
        <v>5</v>
      </c>
      <c r="M350" s="38">
        <v>52000</v>
      </c>
      <c r="N350" s="35" t="str">
        <f t="shared" si="9"/>
        <v>Baixo</v>
      </c>
      <c r="O350" s="35" t="str">
        <f t="shared" si="7"/>
        <v>Passa</v>
      </c>
      <c r="P350" s="35" t="str">
        <f t="shared" si="10"/>
        <v>Passa</v>
      </c>
      <c r="Q350" s="38">
        <f>IF(AND(O350="Negada",P350="Negada"),0,IF(A350="Ativo",M350*0.08,0))</f>
        <v>4160</v>
      </c>
    </row>
    <row r="351" spans="1:17" ht="15.75" customHeight="1">
      <c r="A351" s="35" t="s">
        <v>82</v>
      </c>
      <c r="B351" s="35" t="s">
        <v>748</v>
      </c>
      <c r="C351" s="35" t="s">
        <v>749</v>
      </c>
      <c r="D351" s="35" t="str">
        <f t="shared" si="11"/>
        <v>000.000.117-00</v>
      </c>
      <c r="E351" s="36">
        <v>36151</v>
      </c>
      <c r="F351" s="37">
        <v>27</v>
      </c>
      <c r="G351" s="35" t="s">
        <v>153</v>
      </c>
      <c r="H351" s="35" t="s">
        <v>128</v>
      </c>
      <c r="I351" s="38">
        <v>25900</v>
      </c>
      <c r="J351" s="38">
        <v>0</v>
      </c>
      <c r="K351" s="35" t="s">
        <v>50</v>
      </c>
      <c r="L351" s="37">
        <v>10</v>
      </c>
      <c r="M351" s="38">
        <v>5000</v>
      </c>
      <c r="N351" s="35" t="str">
        <f t="shared" si="9"/>
        <v>Baixo</v>
      </c>
      <c r="O351" s="35" t="str">
        <f t="shared" si="7"/>
        <v>Passa</v>
      </c>
      <c r="P351" s="35" t="str">
        <f t="shared" si="10"/>
        <v>Passa</v>
      </c>
      <c r="Q351" s="38">
        <f>IF(AND(O351="Negada",P351="Negada"),0,IF(A351="Ativo",M351*0.08,0))</f>
        <v>0</v>
      </c>
    </row>
    <row r="352" spans="1:17" ht="15.75" customHeight="1">
      <c r="A352" s="35" t="s">
        <v>77</v>
      </c>
      <c r="B352" s="35" t="s">
        <v>750</v>
      </c>
      <c r="C352" s="35" t="s">
        <v>751</v>
      </c>
      <c r="D352" s="35" t="str">
        <f t="shared" si="11"/>
        <v>000.000.134-00</v>
      </c>
      <c r="E352" s="36">
        <v>29892</v>
      </c>
      <c r="F352" s="37">
        <v>44</v>
      </c>
      <c r="G352" s="35" t="s">
        <v>98</v>
      </c>
      <c r="H352" s="35" t="s">
        <v>99</v>
      </c>
      <c r="I352" s="38">
        <v>20600</v>
      </c>
      <c r="J352" s="38">
        <v>8000</v>
      </c>
      <c r="K352" s="35" t="s">
        <v>49</v>
      </c>
      <c r="L352" s="37">
        <v>39</v>
      </c>
      <c r="M352" s="38">
        <v>36000</v>
      </c>
      <c r="N352" s="35" t="str">
        <f t="shared" si="9"/>
        <v>Alto</v>
      </c>
      <c r="O352" s="35" t="str">
        <f t="shared" si="7"/>
        <v>Passa</v>
      </c>
      <c r="P352" s="35" t="str">
        <f t="shared" si="10"/>
        <v>Passa</v>
      </c>
      <c r="Q352" s="38">
        <f>IF(AND(O352="Negada",P352="Negada"),0,IF(A352="Ativo",M352*0.08,0))</f>
        <v>2880</v>
      </c>
    </row>
    <row r="353" spans="1:17" ht="15.75" customHeight="1">
      <c r="A353" s="35" t="s">
        <v>77</v>
      </c>
      <c r="B353" s="35" t="s">
        <v>752</v>
      </c>
      <c r="C353" s="35" t="s">
        <v>753</v>
      </c>
      <c r="D353" s="35" t="str">
        <f t="shared" si="11"/>
        <v>000.000.060-00</v>
      </c>
      <c r="E353" s="36">
        <v>28689</v>
      </c>
      <c r="F353" s="37">
        <v>48</v>
      </c>
      <c r="G353" s="35" t="s">
        <v>84</v>
      </c>
      <c r="H353" s="35" t="s">
        <v>85</v>
      </c>
      <c r="I353" s="38">
        <v>18700</v>
      </c>
      <c r="J353" s="38">
        <v>11000</v>
      </c>
      <c r="K353" s="35" t="s">
        <v>49</v>
      </c>
      <c r="L353" s="37">
        <v>28</v>
      </c>
      <c r="M353" s="38">
        <v>18000</v>
      </c>
      <c r="N353" s="35" t="str">
        <f t="shared" si="9"/>
        <v>Alto</v>
      </c>
      <c r="O353" s="35" t="str">
        <f t="shared" si="7"/>
        <v>Passa</v>
      </c>
      <c r="P353" s="35" t="str">
        <f t="shared" si="10"/>
        <v>Passa</v>
      </c>
      <c r="Q353" s="38">
        <f>IF(AND(O353="Negada",P353="Negada"),0,IF(A353="Ativo",M353*0.08,0))</f>
        <v>1440</v>
      </c>
    </row>
    <row r="354" spans="1:17" ht="15.75" customHeight="1">
      <c r="A354" s="35" t="s">
        <v>77</v>
      </c>
      <c r="B354" s="35" t="s">
        <v>754</v>
      </c>
      <c r="C354" s="35" t="s">
        <v>755</v>
      </c>
      <c r="D354" s="35" t="str">
        <f t="shared" si="11"/>
        <v>000.000.082-00</v>
      </c>
      <c r="E354" s="36">
        <v>38894</v>
      </c>
      <c r="F354" s="37">
        <v>20</v>
      </c>
      <c r="G354" s="35" t="s">
        <v>139</v>
      </c>
      <c r="H354" s="35" t="s">
        <v>128</v>
      </c>
      <c r="I354" s="38">
        <v>24900</v>
      </c>
      <c r="J354" s="38">
        <v>0</v>
      </c>
      <c r="K354" s="35" t="s">
        <v>50</v>
      </c>
      <c r="L354" s="37">
        <v>14</v>
      </c>
      <c r="M354" s="38">
        <v>49500</v>
      </c>
      <c r="N354" s="35" t="str">
        <f t="shared" si="9"/>
        <v>Médio</v>
      </c>
      <c r="O354" s="35" t="str">
        <f t="shared" si="7"/>
        <v>Passa</v>
      </c>
      <c r="P354" s="35" t="str">
        <f t="shared" si="10"/>
        <v>Passa</v>
      </c>
      <c r="Q354" s="38">
        <f>IF(AND(O354="Negada",P354="Negada"),0,IF(A354="Ativo",M354*0.08,0))</f>
        <v>3960</v>
      </c>
    </row>
    <row r="355" spans="1:17" ht="15.75" customHeight="1">
      <c r="A355" s="35" t="s">
        <v>82</v>
      </c>
      <c r="B355" s="35" t="s">
        <v>756</v>
      </c>
      <c r="C355" s="35" t="s">
        <v>757</v>
      </c>
      <c r="D355" s="35" t="str">
        <f t="shared" si="11"/>
        <v>000.000.230-00</v>
      </c>
      <c r="E355" s="36">
        <v>26744</v>
      </c>
      <c r="F355" s="37">
        <v>53</v>
      </c>
      <c r="G355" s="35" t="s">
        <v>92</v>
      </c>
      <c r="H355" s="35" t="s">
        <v>93</v>
      </c>
      <c r="I355" s="38">
        <v>26400</v>
      </c>
      <c r="J355" s="38">
        <v>9500</v>
      </c>
      <c r="K355" s="35" t="s">
        <v>49</v>
      </c>
      <c r="L355" s="37">
        <v>21</v>
      </c>
      <c r="M355" s="38">
        <v>16000</v>
      </c>
      <c r="N355" s="35" t="str">
        <f t="shared" si="9"/>
        <v>Médio</v>
      </c>
      <c r="O355" s="35" t="str">
        <f t="shared" si="7"/>
        <v>Passa</v>
      </c>
      <c r="P355" s="35" t="str">
        <f t="shared" si="10"/>
        <v>Passa</v>
      </c>
      <c r="Q355" s="38">
        <f>IF(AND(O355="Negada",P355="Negada"),0,IF(A355="Ativo",M355*0.08,0))</f>
        <v>0</v>
      </c>
    </row>
    <row r="356" spans="1:17" ht="15.75" customHeight="1">
      <c r="A356" s="35" t="s">
        <v>82</v>
      </c>
      <c r="B356" s="35" t="s">
        <v>758</v>
      </c>
      <c r="C356" s="35" t="s">
        <v>759</v>
      </c>
      <c r="D356" s="35" t="str">
        <f t="shared" si="11"/>
        <v>000.000.107-00</v>
      </c>
      <c r="E356" s="36">
        <v>34824</v>
      </c>
      <c r="F356" s="37">
        <v>31</v>
      </c>
      <c r="G356" s="35" t="s">
        <v>269</v>
      </c>
      <c r="H356" s="35" t="s">
        <v>85</v>
      </c>
      <c r="I356" s="38">
        <v>29500</v>
      </c>
      <c r="J356" s="38">
        <v>5000</v>
      </c>
      <c r="K356" s="35" t="s">
        <v>49</v>
      </c>
      <c r="L356" s="37">
        <v>22</v>
      </c>
      <c r="M356" s="38">
        <v>18000</v>
      </c>
      <c r="N356" s="35" t="str">
        <f t="shared" si="9"/>
        <v>Médio</v>
      </c>
      <c r="O356" s="35" t="str">
        <f t="shared" si="7"/>
        <v>Passa</v>
      </c>
      <c r="P356" s="35" t="str">
        <f t="shared" si="10"/>
        <v>Passa</v>
      </c>
      <c r="Q356" s="38">
        <f>IF(AND(O356="Negada",P356="Negada"),0,IF(A356="Ativo",M356*0.08,0))</f>
        <v>0</v>
      </c>
    </row>
    <row r="357" spans="1:17" ht="15.75" customHeight="1">
      <c r="A357" s="35" t="s">
        <v>77</v>
      </c>
      <c r="B357" s="35" t="s">
        <v>760</v>
      </c>
      <c r="C357" s="35" t="s">
        <v>761</v>
      </c>
      <c r="D357" s="35" t="str">
        <f t="shared" si="11"/>
        <v>000.000.046-00</v>
      </c>
      <c r="E357" s="36">
        <v>34508</v>
      </c>
      <c r="F357" s="37">
        <v>32</v>
      </c>
      <c r="G357" s="35" t="s">
        <v>165</v>
      </c>
      <c r="H357" s="35" t="s">
        <v>165</v>
      </c>
      <c r="I357" s="38">
        <v>9800</v>
      </c>
      <c r="J357" s="38">
        <v>0</v>
      </c>
      <c r="K357" s="35" t="s">
        <v>49</v>
      </c>
      <c r="L357" s="37">
        <v>23</v>
      </c>
      <c r="M357" s="38">
        <v>68000</v>
      </c>
      <c r="N357" s="35" t="str">
        <f t="shared" si="9"/>
        <v>Médio</v>
      </c>
      <c r="O357" s="35" t="str">
        <f t="shared" si="7"/>
        <v>Passa</v>
      </c>
      <c r="P357" s="35" t="str">
        <f t="shared" si="10"/>
        <v>Passa</v>
      </c>
      <c r="Q357" s="38">
        <f>IF(AND(O357="Negada",P357="Negada"),0,IF(A357="Ativo",M357*0.08,0))</f>
        <v>5440</v>
      </c>
    </row>
    <row r="358" spans="1:17" ht="15.75" customHeight="1">
      <c r="A358" s="35" t="s">
        <v>82</v>
      </c>
      <c r="B358" s="35" t="s">
        <v>762</v>
      </c>
      <c r="C358" s="35" t="s">
        <v>763</v>
      </c>
      <c r="D358" s="35" t="str">
        <f t="shared" si="11"/>
        <v>000.000.281-00</v>
      </c>
      <c r="E358" s="36">
        <v>27590</v>
      </c>
      <c r="F358" s="37">
        <v>51</v>
      </c>
      <c r="G358" s="35" t="s">
        <v>190</v>
      </c>
      <c r="H358" s="35" t="s">
        <v>134</v>
      </c>
      <c r="I358" s="38">
        <v>11400</v>
      </c>
      <c r="J358" s="38">
        <v>0</v>
      </c>
      <c r="K358" s="35" t="s">
        <v>49</v>
      </c>
      <c r="L358" s="37">
        <v>17</v>
      </c>
      <c r="M358" s="38">
        <v>55500</v>
      </c>
      <c r="N358" s="35" t="str">
        <f t="shared" si="9"/>
        <v>Médio</v>
      </c>
      <c r="O358" s="35" t="str">
        <f t="shared" si="7"/>
        <v>Passa</v>
      </c>
      <c r="P358" s="35" t="str">
        <f t="shared" si="10"/>
        <v>Passa</v>
      </c>
      <c r="Q358" s="38">
        <f>IF(AND(O358="Negada",P358="Negada"),0,IF(A358="Ativo",M358*0.08,0))</f>
        <v>0</v>
      </c>
    </row>
    <row r="359" spans="1:17" ht="15.75" customHeight="1">
      <c r="A359" s="35" t="s">
        <v>176</v>
      </c>
      <c r="B359" s="35" t="s">
        <v>764</v>
      </c>
      <c r="C359" s="35" t="s">
        <v>765</v>
      </c>
      <c r="D359" s="35" t="str">
        <f t="shared" si="11"/>
        <v>000.000.080-00</v>
      </c>
      <c r="E359" s="36">
        <v>26403</v>
      </c>
      <c r="F359" s="37">
        <v>54</v>
      </c>
      <c r="G359" s="35" t="s">
        <v>190</v>
      </c>
      <c r="H359" s="35" t="s">
        <v>134</v>
      </c>
      <c r="I359" s="38">
        <v>20800</v>
      </c>
      <c r="J359" s="38">
        <v>16000</v>
      </c>
      <c r="K359" s="35" t="s">
        <v>49</v>
      </c>
      <c r="L359" s="37">
        <v>32</v>
      </c>
      <c r="M359" s="38">
        <v>31500</v>
      </c>
      <c r="N359" s="35" t="str">
        <f t="shared" si="9"/>
        <v>Alto</v>
      </c>
      <c r="O359" s="35" t="str">
        <f t="shared" si="7"/>
        <v>Passa</v>
      </c>
      <c r="P359" s="35" t="str">
        <f t="shared" si="10"/>
        <v>Passa</v>
      </c>
      <c r="Q359" s="38">
        <f>IF(AND(O359="Negada",P359="Negada"),0,IF(A359="Ativo",M359*0.08,0))</f>
        <v>0</v>
      </c>
    </row>
    <row r="360" spans="1:17" ht="15.75" customHeight="1">
      <c r="A360" s="35" t="s">
        <v>82</v>
      </c>
      <c r="B360" s="35" t="s">
        <v>766</v>
      </c>
      <c r="C360" s="35" t="s">
        <v>767</v>
      </c>
      <c r="D360" s="35" t="str">
        <f t="shared" si="11"/>
        <v>000.000.356-00</v>
      </c>
      <c r="E360" s="36">
        <v>22101</v>
      </c>
      <c r="F360" s="37">
        <v>66</v>
      </c>
      <c r="G360" s="35" t="s">
        <v>108</v>
      </c>
      <c r="H360" s="35" t="s">
        <v>109</v>
      </c>
      <c r="I360" s="38">
        <v>16800</v>
      </c>
      <c r="J360" s="38">
        <v>79500</v>
      </c>
      <c r="K360" s="35" t="s">
        <v>49</v>
      </c>
      <c r="L360" s="37">
        <v>36</v>
      </c>
      <c r="M360" s="38">
        <v>1500</v>
      </c>
      <c r="N360" s="35" t="str">
        <f t="shared" si="9"/>
        <v>Alto</v>
      </c>
      <c r="O360" s="35" t="str">
        <f t="shared" si="7"/>
        <v>Passa</v>
      </c>
      <c r="P360" s="35" t="str">
        <f t="shared" si="10"/>
        <v>Passa</v>
      </c>
      <c r="Q360" s="38">
        <f>IF(AND(O360="Negada",P360="Negada"),0,IF(A360="Ativo",M360*0.08,0))</f>
        <v>0</v>
      </c>
    </row>
    <row r="361" spans="1:17" ht="15.75" customHeight="1">
      <c r="A361" s="35" t="s">
        <v>82</v>
      </c>
      <c r="B361" s="35" t="s">
        <v>648</v>
      </c>
      <c r="C361" s="35" t="s">
        <v>741</v>
      </c>
      <c r="D361" s="35" t="str">
        <f t="shared" si="11"/>
        <v>000.000.203-00</v>
      </c>
      <c r="E361" s="36">
        <v>29427</v>
      </c>
      <c r="F361" s="37">
        <v>46</v>
      </c>
      <c r="G361" s="35" t="s">
        <v>151</v>
      </c>
      <c r="H361" s="35" t="s">
        <v>124</v>
      </c>
      <c r="I361" s="38"/>
      <c r="J361" s="38">
        <v>37500</v>
      </c>
      <c r="K361" s="35" t="s">
        <v>49</v>
      </c>
      <c r="L361" s="37"/>
      <c r="M361" s="38">
        <v>21500</v>
      </c>
      <c r="N361" s="35" t="str">
        <f t="shared" si="9"/>
        <v/>
      </c>
      <c r="O361" s="35" t="str">
        <f t="shared" si="7"/>
        <v>Passa</v>
      </c>
      <c r="P361" s="35" t="str">
        <f t="shared" si="10"/>
        <v>Passa</v>
      </c>
      <c r="Q361" s="38">
        <f>IF(AND(O361="Negada",P361="Negada"),0,IF(A361="Ativo",M361*0.08,0))</f>
        <v>0</v>
      </c>
    </row>
    <row r="362" spans="1:17" ht="15.75" customHeight="1">
      <c r="A362" s="35" t="s">
        <v>77</v>
      </c>
      <c r="B362" s="35" t="s">
        <v>768</v>
      </c>
      <c r="C362" s="35" t="s">
        <v>769</v>
      </c>
      <c r="D362" s="35" t="str">
        <f t="shared" si="11"/>
        <v>000.000.329-00</v>
      </c>
      <c r="E362" s="36">
        <v>38204</v>
      </c>
      <c r="F362" s="37">
        <v>22</v>
      </c>
      <c r="G362" s="35" t="s">
        <v>80</v>
      </c>
      <c r="H362" s="35" t="s">
        <v>81</v>
      </c>
      <c r="I362" s="38">
        <v>10500</v>
      </c>
      <c r="J362" s="38">
        <v>50500</v>
      </c>
      <c r="K362" s="35" t="s">
        <v>49</v>
      </c>
      <c r="L362" s="37">
        <v>16</v>
      </c>
      <c r="M362" s="38">
        <v>41500</v>
      </c>
      <c r="N362" s="35" t="str">
        <f t="shared" si="9"/>
        <v>Médio</v>
      </c>
      <c r="O362" s="35" t="str">
        <f t="shared" si="7"/>
        <v>Passa</v>
      </c>
      <c r="P362" s="35" t="str">
        <f t="shared" si="10"/>
        <v>Passa</v>
      </c>
      <c r="Q362" s="38">
        <f>IF(AND(O362="Negada",P362="Negada"),0,IF(A362="Ativo",M362*0.08,0))</f>
        <v>3320</v>
      </c>
    </row>
    <row r="363" spans="1:17" ht="15.75" customHeight="1">
      <c r="A363" s="35" t="s">
        <v>77</v>
      </c>
      <c r="B363" s="35" t="s">
        <v>770</v>
      </c>
      <c r="C363" s="35" t="s">
        <v>771</v>
      </c>
      <c r="D363" s="35" t="str">
        <f t="shared" si="11"/>
        <v>000.000.214-00</v>
      </c>
      <c r="E363" s="36">
        <v>21689</v>
      </c>
      <c r="F363" s="37">
        <v>67</v>
      </c>
      <c r="G363" s="35" t="s">
        <v>108</v>
      </c>
      <c r="H363" s="35" t="s">
        <v>109</v>
      </c>
      <c r="I363" s="38">
        <v>10700</v>
      </c>
      <c r="J363" s="38">
        <v>9000</v>
      </c>
      <c r="K363" s="35" t="s">
        <v>49</v>
      </c>
      <c r="L363" s="37">
        <v>37</v>
      </c>
      <c r="M363" s="38">
        <v>53000</v>
      </c>
      <c r="N363" s="35" t="str">
        <f t="shared" si="9"/>
        <v>Alto</v>
      </c>
      <c r="O363" s="35" t="str">
        <f t="shared" si="7"/>
        <v>Passa</v>
      </c>
      <c r="P363" s="35" t="str">
        <f t="shared" si="10"/>
        <v>Passa</v>
      </c>
      <c r="Q363" s="38">
        <f>IF(AND(O363="Negada",P363="Negada"),0,IF(A363="Ativo",M363*0.08,0))</f>
        <v>4240</v>
      </c>
    </row>
    <row r="364" spans="1:17" ht="15.75" customHeight="1">
      <c r="A364" s="35" t="s">
        <v>77</v>
      </c>
      <c r="B364" s="35" t="s">
        <v>772</v>
      </c>
      <c r="C364" s="35" t="s">
        <v>773</v>
      </c>
      <c r="D364" s="35" t="str">
        <f t="shared" si="11"/>
        <v>000.000.269-00</v>
      </c>
      <c r="E364" s="36">
        <v>26790</v>
      </c>
      <c r="F364" s="37">
        <v>53</v>
      </c>
      <c r="G364" s="35" t="s">
        <v>114</v>
      </c>
      <c r="H364" s="35" t="s">
        <v>109</v>
      </c>
      <c r="I364" s="38"/>
      <c r="J364" s="38">
        <v>21500</v>
      </c>
      <c r="K364" s="35" t="s">
        <v>50</v>
      </c>
      <c r="L364" s="37">
        <v>44</v>
      </c>
      <c r="M364" s="38">
        <v>3500</v>
      </c>
      <c r="N364" s="35" t="str">
        <f t="shared" si="9"/>
        <v>Alto</v>
      </c>
      <c r="O364" s="35" t="str">
        <f t="shared" si="7"/>
        <v>Negada</v>
      </c>
      <c r="P364" s="35" t="str">
        <f t="shared" si="10"/>
        <v>Passa</v>
      </c>
      <c r="Q364" s="38">
        <f>IF(AND(O364="Negada",P364="Negada"),0,IF(A364="Ativo",M364*0.08,0))</f>
        <v>280</v>
      </c>
    </row>
    <row r="365" spans="1:17" ht="15.75" customHeight="1">
      <c r="A365" s="35" t="s">
        <v>82</v>
      </c>
      <c r="B365" s="35" t="s">
        <v>774</v>
      </c>
      <c r="C365" s="35" t="s">
        <v>775</v>
      </c>
      <c r="D365" s="35" t="str">
        <f t="shared" si="11"/>
        <v>000.000.032-00</v>
      </c>
      <c r="E365" s="36">
        <v>34746</v>
      </c>
      <c r="F365" s="37">
        <v>31</v>
      </c>
      <c r="G365" s="35" t="s">
        <v>114</v>
      </c>
      <c r="H365" s="35" t="s">
        <v>109</v>
      </c>
      <c r="I365" s="38">
        <v>18200</v>
      </c>
      <c r="J365" s="38">
        <v>78500</v>
      </c>
      <c r="K365" s="35" t="s">
        <v>49</v>
      </c>
      <c r="L365" s="37">
        <v>9</v>
      </c>
      <c r="M365" s="38">
        <v>73000</v>
      </c>
      <c r="N365" s="35" t="str">
        <f t="shared" si="9"/>
        <v>Baixo</v>
      </c>
      <c r="O365" s="35" t="str">
        <f t="shared" si="7"/>
        <v>Passa</v>
      </c>
      <c r="P365" s="35" t="str">
        <f t="shared" si="10"/>
        <v>Passa</v>
      </c>
      <c r="Q365" s="38">
        <f>IF(AND(O365="Negada",P365="Negada"),0,IF(A365="Ativo",M365*0.08,0))</f>
        <v>0</v>
      </c>
    </row>
    <row r="366" spans="1:17" ht="15.75" customHeight="1">
      <c r="A366" s="35" t="s">
        <v>77</v>
      </c>
      <c r="B366" s="35" t="s">
        <v>231</v>
      </c>
      <c r="C366" s="35" t="s">
        <v>776</v>
      </c>
      <c r="D366" s="35" t="str">
        <f t="shared" si="11"/>
        <v>000.000.280-00</v>
      </c>
      <c r="E366" s="36">
        <v>31156</v>
      </c>
      <c r="F366" s="37">
        <v>41</v>
      </c>
      <c r="G366" s="35" t="s">
        <v>146</v>
      </c>
      <c r="H366" s="35" t="s">
        <v>128</v>
      </c>
      <c r="I366" s="38">
        <v>26500</v>
      </c>
      <c r="J366" s="38">
        <v>29500</v>
      </c>
      <c r="K366" s="35" t="s">
        <v>49</v>
      </c>
      <c r="L366" s="37">
        <v>5</v>
      </c>
      <c r="M366" s="38">
        <v>75000</v>
      </c>
      <c r="N366" s="35" t="str">
        <f t="shared" si="9"/>
        <v>Baixo</v>
      </c>
      <c r="O366" s="35" t="str">
        <f t="shared" si="7"/>
        <v>Passa</v>
      </c>
      <c r="P366" s="35" t="str">
        <f t="shared" si="10"/>
        <v>Passa</v>
      </c>
      <c r="Q366" s="38">
        <f>IF(AND(O366="Negada",P366="Negada"),0,IF(A366="Ativo",M366*0.08,0))</f>
        <v>6000</v>
      </c>
    </row>
    <row r="367" spans="1:17" ht="15.75" customHeight="1">
      <c r="A367" s="35" t="s">
        <v>82</v>
      </c>
      <c r="B367" s="35" t="s">
        <v>527</v>
      </c>
      <c r="C367" s="35" t="s">
        <v>777</v>
      </c>
      <c r="D367" s="35" t="str">
        <f t="shared" si="11"/>
        <v>000.000.206-00</v>
      </c>
      <c r="E367" s="36">
        <v>26075</v>
      </c>
      <c r="F367" s="37">
        <v>55</v>
      </c>
      <c r="G367" s="35" t="s">
        <v>80</v>
      </c>
      <c r="H367" s="35" t="s">
        <v>81</v>
      </c>
      <c r="I367" s="38">
        <v>21100</v>
      </c>
      <c r="J367" s="38">
        <v>67500</v>
      </c>
      <c r="K367" s="35" t="s">
        <v>49</v>
      </c>
      <c r="L367" s="37">
        <v>15</v>
      </c>
      <c r="M367" s="38">
        <v>20000</v>
      </c>
      <c r="N367" s="35" t="str">
        <f t="shared" si="9"/>
        <v>Médio</v>
      </c>
      <c r="O367" s="35" t="str">
        <f t="shared" si="7"/>
        <v>Passa</v>
      </c>
      <c r="P367" s="35" t="str">
        <f t="shared" si="10"/>
        <v>Passa</v>
      </c>
      <c r="Q367" s="38">
        <f>IF(AND(O367="Negada",P367="Negada"),0,IF(A367="Ativo",M367*0.08,0))</f>
        <v>0</v>
      </c>
    </row>
    <row r="368" spans="1:17" ht="15.75" customHeight="1">
      <c r="A368" s="35" t="s">
        <v>77</v>
      </c>
      <c r="B368" s="35" t="s">
        <v>778</v>
      </c>
      <c r="C368" s="35" t="s">
        <v>779</v>
      </c>
      <c r="D368" s="35" t="str">
        <f t="shared" si="11"/>
        <v>000.000.253-00</v>
      </c>
      <c r="E368" s="36">
        <v>24272</v>
      </c>
      <c r="F368" s="37">
        <v>60</v>
      </c>
      <c r="G368" s="35" t="s">
        <v>190</v>
      </c>
      <c r="H368" s="35" t="s">
        <v>134</v>
      </c>
      <c r="I368" s="38">
        <v>17300</v>
      </c>
      <c r="J368" s="38">
        <v>15000</v>
      </c>
      <c r="K368" s="35" t="s">
        <v>49</v>
      </c>
      <c r="L368" s="37">
        <v>17</v>
      </c>
      <c r="M368" s="38">
        <v>69000</v>
      </c>
      <c r="N368" s="35" t="str">
        <f t="shared" si="9"/>
        <v>Médio</v>
      </c>
      <c r="O368" s="35" t="str">
        <f t="shared" si="7"/>
        <v>Passa</v>
      </c>
      <c r="P368" s="35" t="str">
        <f t="shared" si="10"/>
        <v>Passa</v>
      </c>
      <c r="Q368" s="38">
        <f>IF(AND(O368="Negada",P368="Negada"),0,IF(A368="Ativo",M368*0.08,0))</f>
        <v>5520</v>
      </c>
    </row>
    <row r="369" spans="1:17" ht="15.75" customHeight="1">
      <c r="A369" s="35" t="s">
        <v>77</v>
      </c>
      <c r="B369" s="35" t="s">
        <v>780</v>
      </c>
      <c r="C369" s="35" t="s">
        <v>781</v>
      </c>
      <c r="D369" s="35" t="str">
        <f t="shared" si="11"/>
        <v>000.000.036-00</v>
      </c>
      <c r="E369" s="36">
        <v>28136</v>
      </c>
      <c r="F369" s="37">
        <v>49</v>
      </c>
      <c r="G369" s="35" t="s">
        <v>156</v>
      </c>
      <c r="H369" s="35" t="s">
        <v>134</v>
      </c>
      <c r="I369" s="38">
        <v>20300</v>
      </c>
      <c r="J369" s="38">
        <v>12000</v>
      </c>
      <c r="K369" s="35" t="s">
        <v>50</v>
      </c>
      <c r="L369" s="37">
        <v>27</v>
      </c>
      <c r="M369" s="38">
        <v>67500</v>
      </c>
      <c r="N369" s="35" t="str">
        <f t="shared" si="9"/>
        <v>Alto</v>
      </c>
      <c r="O369" s="35" t="str">
        <f t="shared" si="7"/>
        <v>Negada</v>
      </c>
      <c r="P369" s="35" t="str">
        <f t="shared" si="10"/>
        <v>Passa</v>
      </c>
      <c r="Q369" s="38">
        <f>IF(AND(O369="Negada",P369="Negada"),0,IF(A369="Ativo",M369*0.08,0))</f>
        <v>5400</v>
      </c>
    </row>
    <row r="370" spans="1:17" ht="15.75" customHeight="1">
      <c r="A370" s="35" t="s">
        <v>77</v>
      </c>
      <c r="B370" s="35" t="s">
        <v>782</v>
      </c>
      <c r="C370" s="35" t="s">
        <v>783</v>
      </c>
      <c r="D370" s="35" t="str">
        <f t="shared" si="11"/>
        <v>000.000.176-00</v>
      </c>
      <c r="E370" s="36">
        <v>19364</v>
      </c>
      <c r="F370" s="37">
        <v>73</v>
      </c>
      <c r="G370" s="35" t="s">
        <v>190</v>
      </c>
      <c r="H370" s="35" t="s">
        <v>134</v>
      </c>
      <c r="I370" s="38">
        <v>16500</v>
      </c>
      <c r="J370" s="38">
        <v>54000</v>
      </c>
      <c r="K370" s="35" t="s">
        <v>49</v>
      </c>
      <c r="L370" s="37">
        <v>11</v>
      </c>
      <c r="M370" s="38">
        <v>33500</v>
      </c>
      <c r="N370" s="35" t="str">
        <f t="shared" si="9"/>
        <v>Médio</v>
      </c>
      <c r="O370" s="35" t="str">
        <f t="shared" si="7"/>
        <v>Passa</v>
      </c>
      <c r="P370" s="35" t="str">
        <f t="shared" si="10"/>
        <v>Passa</v>
      </c>
      <c r="Q370" s="38">
        <f>IF(AND(O370="Negada",P370="Negada"),0,IF(A370="Ativo",M370*0.08,0))</f>
        <v>2680</v>
      </c>
    </row>
    <row r="371" spans="1:17" ht="15.75" customHeight="1">
      <c r="A371" s="35" t="s">
        <v>77</v>
      </c>
      <c r="B371" s="35" t="s">
        <v>784</v>
      </c>
      <c r="C371" s="35" t="s">
        <v>785</v>
      </c>
      <c r="D371" s="35" t="str">
        <f t="shared" si="11"/>
        <v>000.000.212-00</v>
      </c>
      <c r="E371" s="36">
        <v>36422</v>
      </c>
      <c r="F371" s="37">
        <v>26</v>
      </c>
      <c r="G371" s="35" t="s">
        <v>88</v>
      </c>
      <c r="H371" s="35" t="s">
        <v>89</v>
      </c>
      <c r="I371" s="38">
        <v>8900</v>
      </c>
      <c r="J371" s="38">
        <v>72000</v>
      </c>
      <c r="K371" s="35"/>
      <c r="L371" s="37">
        <v>17</v>
      </c>
      <c r="M371" s="38">
        <v>11000</v>
      </c>
      <c r="N371" s="35" t="str">
        <f t="shared" si="9"/>
        <v>Médio</v>
      </c>
      <c r="O371" s="35" t="str">
        <f t="shared" si="7"/>
        <v>Passa</v>
      </c>
      <c r="P371" s="35" t="str">
        <f t="shared" si="10"/>
        <v>Passa</v>
      </c>
      <c r="Q371" s="38">
        <f>IF(AND(O371="Negada",P371="Negada"),0,IF(A371="Ativo",M371*0.08,0))</f>
        <v>880</v>
      </c>
    </row>
    <row r="372" spans="1:17" ht="15.75" customHeight="1">
      <c r="A372" s="35" t="s">
        <v>77</v>
      </c>
      <c r="B372" s="35" t="s">
        <v>689</v>
      </c>
      <c r="C372" s="35" t="s">
        <v>786</v>
      </c>
      <c r="D372" s="35" t="str">
        <f t="shared" si="11"/>
        <v>000.000.042-00</v>
      </c>
      <c r="E372" s="36">
        <v>33892</v>
      </c>
      <c r="F372" s="37">
        <v>33</v>
      </c>
      <c r="G372" s="35" t="s">
        <v>114</v>
      </c>
      <c r="H372" s="35" t="s">
        <v>109</v>
      </c>
      <c r="I372" s="38">
        <v>29200</v>
      </c>
      <c r="J372" s="38">
        <v>3000</v>
      </c>
      <c r="K372" s="35" t="s">
        <v>50</v>
      </c>
      <c r="L372" s="37">
        <v>40</v>
      </c>
      <c r="M372" s="38">
        <v>26000</v>
      </c>
      <c r="N372" s="35" t="str">
        <f t="shared" si="9"/>
        <v>Alto</v>
      </c>
      <c r="O372" s="35" t="str">
        <f t="shared" si="7"/>
        <v>Negada</v>
      </c>
      <c r="P372" s="35" t="str">
        <f t="shared" si="10"/>
        <v>Passa</v>
      </c>
      <c r="Q372" s="38">
        <f>IF(AND(O372="Negada",P372="Negada"),0,IF(A372="Ativo",M372*0.08,0))</f>
        <v>2080</v>
      </c>
    </row>
    <row r="373" spans="1:17" ht="15.75" customHeight="1">
      <c r="A373" s="35" t="s">
        <v>77</v>
      </c>
      <c r="B373" s="35" t="s">
        <v>787</v>
      </c>
      <c r="C373" s="35" t="s">
        <v>788</v>
      </c>
      <c r="D373" s="35" t="str">
        <f t="shared" si="11"/>
        <v>000.000.174-00</v>
      </c>
      <c r="E373" s="36">
        <v>21671</v>
      </c>
      <c r="F373" s="37">
        <v>67</v>
      </c>
      <c r="G373" s="35" t="s">
        <v>84</v>
      </c>
      <c r="H373" s="35" t="s">
        <v>85</v>
      </c>
      <c r="I373" s="38">
        <v>6500</v>
      </c>
      <c r="J373" s="38">
        <v>42500</v>
      </c>
      <c r="K373" s="35" t="s">
        <v>50</v>
      </c>
      <c r="L373" s="37">
        <v>3</v>
      </c>
      <c r="M373" s="38">
        <v>8000</v>
      </c>
      <c r="N373" s="35" t="str">
        <f t="shared" si="9"/>
        <v>Baixo</v>
      </c>
      <c r="O373" s="35" t="str">
        <f t="shared" si="7"/>
        <v>Passa</v>
      </c>
      <c r="P373" s="35" t="str">
        <f t="shared" si="10"/>
        <v>Passa</v>
      </c>
      <c r="Q373" s="38">
        <f>IF(AND(O373="Negada",P373="Negada"),0,IF(A373="Ativo",M373*0.08,0))</f>
        <v>640</v>
      </c>
    </row>
    <row r="374" spans="1:17" ht="15.75" customHeight="1">
      <c r="A374" s="35" t="s">
        <v>77</v>
      </c>
      <c r="B374" s="35" t="s">
        <v>789</v>
      </c>
      <c r="C374" s="35" t="s">
        <v>790</v>
      </c>
      <c r="D374" s="35" t="str">
        <f t="shared" si="11"/>
        <v>000.000.183-00</v>
      </c>
      <c r="E374" s="36">
        <v>19801</v>
      </c>
      <c r="F374" s="37">
        <v>72</v>
      </c>
      <c r="G374" s="35" t="s">
        <v>197</v>
      </c>
      <c r="H374" s="35" t="s">
        <v>89</v>
      </c>
      <c r="I374" s="38">
        <v>10200</v>
      </c>
      <c r="J374" s="38">
        <v>0</v>
      </c>
      <c r="K374" s="35" t="s">
        <v>49</v>
      </c>
      <c r="L374" s="37">
        <v>27</v>
      </c>
      <c r="M374" s="38">
        <v>99500</v>
      </c>
      <c r="N374" s="35" t="str">
        <f t="shared" si="9"/>
        <v>Alto</v>
      </c>
      <c r="O374" s="35" t="str">
        <f t="shared" si="7"/>
        <v>Passa</v>
      </c>
      <c r="P374" s="35" t="str">
        <f t="shared" si="10"/>
        <v>Passa</v>
      </c>
      <c r="Q374" s="38">
        <f>IF(AND(O374="Negada",P374="Negada"),0,IF(A374="Ativo",M374*0.08,0))</f>
        <v>7960</v>
      </c>
    </row>
    <row r="375" spans="1:17" ht="15.75" customHeight="1">
      <c r="A375" s="35" t="s">
        <v>77</v>
      </c>
      <c r="B375" s="35" t="s">
        <v>791</v>
      </c>
      <c r="C375" s="35" t="s">
        <v>792</v>
      </c>
      <c r="D375" s="35" t="str">
        <f t="shared" si="11"/>
        <v>000.000.185-00</v>
      </c>
      <c r="E375" s="36">
        <v>33370</v>
      </c>
      <c r="F375" s="37">
        <v>35</v>
      </c>
      <c r="G375" s="35" t="s">
        <v>88</v>
      </c>
      <c r="H375" s="35" t="s">
        <v>89</v>
      </c>
      <c r="I375" s="38">
        <v>5600</v>
      </c>
      <c r="J375" s="38">
        <v>69500</v>
      </c>
      <c r="K375" s="35" t="s">
        <v>49</v>
      </c>
      <c r="L375" s="37">
        <v>13</v>
      </c>
      <c r="M375" s="38">
        <v>43500</v>
      </c>
      <c r="N375" s="35" t="str">
        <f t="shared" si="9"/>
        <v>Médio</v>
      </c>
      <c r="O375" s="35" t="str">
        <f t="shared" si="7"/>
        <v>Passa</v>
      </c>
      <c r="P375" s="35" t="str">
        <f t="shared" si="10"/>
        <v>Passa</v>
      </c>
      <c r="Q375" s="38">
        <f>IF(AND(O375="Negada",P375="Negada"),0,IF(A375="Ativo",M375*0.08,0))</f>
        <v>3480</v>
      </c>
    </row>
    <row r="376" spans="1:17" ht="15.75" customHeight="1">
      <c r="A376" s="35" t="s">
        <v>77</v>
      </c>
      <c r="B376" s="35" t="s">
        <v>434</v>
      </c>
      <c r="C376" s="35" t="s">
        <v>793</v>
      </c>
      <c r="D376" s="35" t="str">
        <f t="shared" si="11"/>
        <v>000.000.048-00</v>
      </c>
      <c r="E376" s="36">
        <v>34084</v>
      </c>
      <c r="F376" s="37">
        <v>33</v>
      </c>
      <c r="G376" s="35" t="s">
        <v>139</v>
      </c>
      <c r="H376" s="35" t="s">
        <v>128</v>
      </c>
      <c r="I376" s="38">
        <v>29700</v>
      </c>
      <c r="J376" s="38">
        <v>38000</v>
      </c>
      <c r="K376" s="35" t="s">
        <v>50</v>
      </c>
      <c r="L376" s="37">
        <v>41</v>
      </c>
      <c r="M376" s="38">
        <v>83500</v>
      </c>
      <c r="N376" s="35" t="str">
        <f t="shared" si="9"/>
        <v>Alto</v>
      </c>
      <c r="O376" s="35" t="str">
        <f t="shared" si="7"/>
        <v>Negada</v>
      </c>
      <c r="P376" s="35" t="str">
        <f t="shared" si="10"/>
        <v>Passa</v>
      </c>
      <c r="Q376" s="38">
        <f>IF(AND(O376="Negada",P376="Negada"),0,IF(A376="Ativo",M376*0.08,0))</f>
        <v>6680</v>
      </c>
    </row>
    <row r="377" spans="1:17" ht="15.75" customHeight="1">
      <c r="A377" s="35" t="s">
        <v>77</v>
      </c>
      <c r="B377" s="35" t="s">
        <v>794</v>
      </c>
      <c r="C377" s="35" t="s">
        <v>795</v>
      </c>
      <c r="D377" s="35" t="str">
        <f t="shared" si="11"/>
        <v>000.000.121-00</v>
      </c>
      <c r="E377" s="36">
        <v>24777</v>
      </c>
      <c r="F377" s="37">
        <v>58</v>
      </c>
      <c r="G377" s="35" t="s">
        <v>80</v>
      </c>
      <c r="H377" s="35" t="s">
        <v>81</v>
      </c>
      <c r="I377" s="38">
        <v>22200</v>
      </c>
      <c r="J377" s="38">
        <v>0</v>
      </c>
      <c r="K377" s="35" t="s">
        <v>49</v>
      </c>
      <c r="L377" s="37">
        <v>42</v>
      </c>
      <c r="M377" s="38">
        <v>33000</v>
      </c>
      <c r="N377" s="35" t="str">
        <f t="shared" si="9"/>
        <v>Alto</v>
      </c>
      <c r="O377" s="35" t="str">
        <f t="shared" si="7"/>
        <v>Passa</v>
      </c>
      <c r="P377" s="35" t="str">
        <f t="shared" si="10"/>
        <v>Passa</v>
      </c>
      <c r="Q377" s="38">
        <f>IF(AND(O377="Negada",P377="Negada"),0,IF(A377="Ativo",M377*0.08,0))</f>
        <v>2640</v>
      </c>
    </row>
    <row r="378" spans="1:17" ht="15.75" customHeight="1">
      <c r="A378" s="35" t="s">
        <v>82</v>
      </c>
      <c r="B378" s="35" t="s">
        <v>457</v>
      </c>
      <c r="C378" s="35" t="s">
        <v>458</v>
      </c>
      <c r="D378" s="35" t="str">
        <f t="shared" si="11"/>
        <v>000.000.245-00</v>
      </c>
      <c r="E378" s="36">
        <v>22205</v>
      </c>
      <c r="F378" s="37">
        <v>65</v>
      </c>
      <c r="G378" s="35" t="s">
        <v>127</v>
      </c>
      <c r="H378" s="35" t="s">
        <v>128</v>
      </c>
      <c r="I378" s="38">
        <v>19800</v>
      </c>
      <c r="J378" s="38">
        <v>78500</v>
      </c>
      <c r="K378" s="35" t="s">
        <v>49</v>
      </c>
      <c r="L378" s="37">
        <v>34</v>
      </c>
      <c r="M378" s="38">
        <v>84000</v>
      </c>
      <c r="N378" s="35" t="str">
        <f t="shared" si="9"/>
        <v>Alto</v>
      </c>
      <c r="O378" s="35" t="str">
        <f t="shared" si="7"/>
        <v>Passa</v>
      </c>
      <c r="P378" s="35" t="str">
        <f t="shared" si="10"/>
        <v>Passa</v>
      </c>
      <c r="Q378" s="38">
        <f>IF(AND(O378="Negada",P378="Negada"),0,IF(A378="Ativo",M378*0.08,0))</f>
        <v>0</v>
      </c>
    </row>
    <row r="379" spans="1:17" ht="15.75" customHeight="1">
      <c r="A379" s="35" t="s">
        <v>82</v>
      </c>
      <c r="B379" s="35" t="s">
        <v>752</v>
      </c>
      <c r="C379" s="35" t="s">
        <v>796</v>
      </c>
      <c r="D379" s="35" t="str">
        <f t="shared" si="11"/>
        <v>000.000.084-00</v>
      </c>
      <c r="E379" s="36">
        <v>32351</v>
      </c>
      <c r="F379" s="37">
        <v>38</v>
      </c>
      <c r="G379" s="35" t="s">
        <v>88</v>
      </c>
      <c r="H379" s="35" t="s">
        <v>89</v>
      </c>
      <c r="I379" s="38">
        <v>23600</v>
      </c>
      <c r="J379" s="38">
        <v>0</v>
      </c>
      <c r="K379" s="35" t="s">
        <v>49</v>
      </c>
      <c r="L379" s="37"/>
      <c r="M379" s="38">
        <v>28500</v>
      </c>
      <c r="N379" s="35" t="str">
        <f t="shared" si="9"/>
        <v/>
      </c>
      <c r="O379" s="35" t="str">
        <f t="shared" si="7"/>
        <v>Passa</v>
      </c>
      <c r="P379" s="35" t="str">
        <f t="shared" si="10"/>
        <v>Passa</v>
      </c>
      <c r="Q379" s="38">
        <f>IF(AND(O379="Negada",P379="Negada"),0,IF(A379="Ativo",M379*0.08,0))</f>
        <v>0</v>
      </c>
    </row>
    <row r="380" spans="1:17" ht="15.75" customHeight="1">
      <c r="A380" s="35" t="s">
        <v>77</v>
      </c>
      <c r="B380" s="35" t="s">
        <v>538</v>
      </c>
      <c r="C380" s="35" t="s">
        <v>797</v>
      </c>
      <c r="D380" s="35" t="str">
        <f t="shared" si="11"/>
        <v>000.000.268-00</v>
      </c>
      <c r="E380" s="36">
        <v>24100</v>
      </c>
      <c r="F380" s="37">
        <v>60</v>
      </c>
      <c r="G380" s="35" t="s">
        <v>123</v>
      </c>
      <c r="H380" s="35" t="s">
        <v>124</v>
      </c>
      <c r="I380" s="38">
        <v>9700</v>
      </c>
      <c r="J380" s="38">
        <v>61000</v>
      </c>
      <c r="K380" s="35" t="s">
        <v>50</v>
      </c>
      <c r="L380" s="37">
        <v>9</v>
      </c>
      <c r="M380" s="38">
        <v>88000</v>
      </c>
      <c r="N380" s="35" t="str">
        <f t="shared" si="9"/>
        <v>Baixo</v>
      </c>
      <c r="O380" s="35" t="str">
        <f t="shared" si="7"/>
        <v>Passa</v>
      </c>
      <c r="P380" s="35" t="str">
        <f t="shared" si="10"/>
        <v>Negada</v>
      </c>
      <c r="Q380" s="38">
        <f>IF(AND(O380="Negada",P380="Negada"),0,IF(A380="Ativo",M380*0.08,0))</f>
        <v>7040</v>
      </c>
    </row>
    <row r="381" spans="1:17" ht="15.75" customHeight="1">
      <c r="A381" s="35" t="s">
        <v>77</v>
      </c>
      <c r="B381" s="35" t="s">
        <v>798</v>
      </c>
      <c r="C381" s="35" t="s">
        <v>799</v>
      </c>
      <c r="D381" s="35" t="str">
        <f t="shared" si="11"/>
        <v>000.000.053-00</v>
      </c>
      <c r="E381" s="36">
        <v>25578</v>
      </c>
      <c r="F381" s="37">
        <v>56</v>
      </c>
      <c r="G381" s="35" t="s">
        <v>92</v>
      </c>
      <c r="H381" s="35" t="s">
        <v>93</v>
      </c>
      <c r="I381" s="38">
        <v>14900</v>
      </c>
      <c r="J381" s="38">
        <v>0</v>
      </c>
      <c r="K381" s="35" t="s">
        <v>49</v>
      </c>
      <c r="L381" s="37">
        <v>13</v>
      </c>
      <c r="M381" s="38">
        <v>71000</v>
      </c>
      <c r="N381" s="35" t="str">
        <f t="shared" si="9"/>
        <v>Médio</v>
      </c>
      <c r="O381" s="35" t="str">
        <f t="shared" si="7"/>
        <v>Passa</v>
      </c>
      <c r="P381" s="35" t="str">
        <f t="shared" si="10"/>
        <v>Passa</v>
      </c>
      <c r="Q381" s="38">
        <f>IF(AND(O381="Negada",P381="Negada"),0,IF(A381="Ativo",M381*0.08,0))</f>
        <v>5680</v>
      </c>
    </row>
    <row r="382" spans="1:17" ht="15.75" customHeight="1">
      <c r="A382" s="35" t="s">
        <v>77</v>
      </c>
      <c r="B382" s="35" t="s">
        <v>800</v>
      </c>
      <c r="C382" s="35" t="s">
        <v>801</v>
      </c>
      <c r="D382" s="35" t="str">
        <f t="shared" si="11"/>
        <v>000.000.078-00</v>
      </c>
      <c r="E382" s="36">
        <v>33306</v>
      </c>
      <c r="F382" s="37">
        <v>35</v>
      </c>
      <c r="G382" s="35" t="s">
        <v>84</v>
      </c>
      <c r="H382" s="35" t="s">
        <v>85</v>
      </c>
      <c r="I382" s="38">
        <v>9700</v>
      </c>
      <c r="J382" s="38"/>
      <c r="K382" s="35" t="s">
        <v>49</v>
      </c>
      <c r="L382" s="37">
        <v>20</v>
      </c>
      <c r="M382" s="38">
        <v>31000</v>
      </c>
      <c r="N382" s="35" t="str">
        <f t="shared" si="9"/>
        <v>Médio</v>
      </c>
      <c r="O382" s="35" t="str">
        <f t="shared" si="7"/>
        <v>Passa</v>
      </c>
      <c r="P382" s="35" t="str">
        <f t="shared" si="10"/>
        <v>Passa</v>
      </c>
      <c r="Q382" s="38">
        <f>IF(AND(O382="Negada",P382="Negada"),0,IF(A382="Ativo",M382*0.08,0))</f>
        <v>2480</v>
      </c>
    </row>
    <row r="383" spans="1:17" ht="15.75" customHeight="1">
      <c r="A383" s="35" t="s">
        <v>77</v>
      </c>
      <c r="B383" s="35" t="s">
        <v>802</v>
      </c>
      <c r="C383" s="35" t="s">
        <v>803</v>
      </c>
      <c r="D383" s="35" t="str">
        <f t="shared" si="11"/>
        <v>000.000.072-00</v>
      </c>
      <c r="E383" s="36">
        <v>19852</v>
      </c>
      <c r="F383" s="37">
        <v>72</v>
      </c>
      <c r="G383" s="35" t="s">
        <v>269</v>
      </c>
      <c r="H383" s="35" t="s">
        <v>85</v>
      </c>
      <c r="I383" s="38">
        <v>27100</v>
      </c>
      <c r="J383" s="38">
        <v>71000</v>
      </c>
      <c r="K383" s="35" t="s">
        <v>49</v>
      </c>
      <c r="L383" s="37">
        <v>32</v>
      </c>
      <c r="M383" s="38">
        <v>29500</v>
      </c>
      <c r="N383" s="35" t="str">
        <f t="shared" si="9"/>
        <v>Alto</v>
      </c>
      <c r="O383" s="35" t="str">
        <f t="shared" si="7"/>
        <v>Passa</v>
      </c>
      <c r="P383" s="35" t="str">
        <f t="shared" si="10"/>
        <v>Passa</v>
      </c>
      <c r="Q383" s="38">
        <f>IF(AND(O383="Negada",P383="Negada"),0,IF(A383="Ativo",M383*0.08,0))</f>
        <v>2360</v>
      </c>
    </row>
    <row r="384" spans="1:17" ht="15.75" customHeight="1">
      <c r="A384" s="35" t="s">
        <v>77</v>
      </c>
      <c r="B384" s="35" t="s">
        <v>804</v>
      </c>
      <c r="C384" s="35" t="s">
        <v>805</v>
      </c>
      <c r="D384" s="35" t="str">
        <f t="shared" si="11"/>
        <v>000.000.035-00</v>
      </c>
      <c r="E384" s="36">
        <v>27214</v>
      </c>
      <c r="F384" s="37">
        <v>52</v>
      </c>
      <c r="G384" s="35" t="s">
        <v>156</v>
      </c>
      <c r="H384" s="35" t="s">
        <v>134</v>
      </c>
      <c r="I384" s="38">
        <v>17500</v>
      </c>
      <c r="J384" s="38">
        <v>6500</v>
      </c>
      <c r="K384" s="35" t="s">
        <v>49</v>
      </c>
      <c r="L384" s="37"/>
      <c r="M384" s="38">
        <v>42500</v>
      </c>
      <c r="N384" s="35" t="str">
        <f t="shared" si="9"/>
        <v/>
      </c>
      <c r="O384" s="35" t="str">
        <f t="shared" si="7"/>
        <v>Passa</v>
      </c>
      <c r="P384" s="35" t="str">
        <f t="shared" si="10"/>
        <v>Passa</v>
      </c>
      <c r="Q384" s="38">
        <f>IF(AND(O384="Negada",P384="Negada"),0,IF(A384="Ativo",M384*0.08,0))</f>
        <v>3400</v>
      </c>
    </row>
    <row r="385" spans="1:17" ht="15.75" customHeight="1">
      <c r="A385" s="35" t="s">
        <v>77</v>
      </c>
      <c r="B385" s="35" t="s">
        <v>806</v>
      </c>
      <c r="C385" s="35" t="s">
        <v>807</v>
      </c>
      <c r="D385" s="35" t="str">
        <f t="shared" si="11"/>
        <v>000.000.033-00</v>
      </c>
      <c r="E385" s="36">
        <v>34914</v>
      </c>
      <c r="F385" s="37">
        <v>31</v>
      </c>
      <c r="G385" s="35" t="s">
        <v>92</v>
      </c>
      <c r="H385" s="35" t="s">
        <v>93</v>
      </c>
      <c r="I385" s="38">
        <v>20800</v>
      </c>
      <c r="J385" s="38">
        <v>17500</v>
      </c>
      <c r="K385" s="35" t="s">
        <v>49</v>
      </c>
      <c r="L385" s="37">
        <v>35</v>
      </c>
      <c r="M385" s="38">
        <v>58000</v>
      </c>
      <c r="N385" s="35" t="str">
        <f t="shared" si="9"/>
        <v>Alto</v>
      </c>
      <c r="O385" s="35" t="str">
        <f t="shared" si="7"/>
        <v>Passa</v>
      </c>
      <c r="P385" s="35" t="str">
        <f t="shared" si="10"/>
        <v>Passa</v>
      </c>
      <c r="Q385" s="38">
        <f>IF(AND(O385="Negada",P385="Negada"),0,IF(A385="Ativo",M385*0.08,0))</f>
        <v>4640</v>
      </c>
    </row>
    <row r="386" spans="1:17" ht="15.75" customHeight="1">
      <c r="A386" s="35" t="s">
        <v>77</v>
      </c>
      <c r="B386" s="35" t="s">
        <v>808</v>
      </c>
      <c r="C386" s="35" t="s">
        <v>809</v>
      </c>
      <c r="D386" s="35" t="str">
        <f t="shared" si="11"/>
        <v>000.000.255-00</v>
      </c>
      <c r="E386" s="36">
        <v>20681</v>
      </c>
      <c r="F386" s="37">
        <v>70</v>
      </c>
      <c r="G386" s="35" t="s">
        <v>114</v>
      </c>
      <c r="H386" s="35" t="s">
        <v>109</v>
      </c>
      <c r="I386" s="38">
        <v>15800</v>
      </c>
      <c r="J386" s="38">
        <v>17500</v>
      </c>
      <c r="K386" s="35" t="s">
        <v>49</v>
      </c>
      <c r="L386" s="37">
        <v>18</v>
      </c>
      <c r="M386" s="38">
        <v>91000</v>
      </c>
      <c r="N386" s="35" t="str">
        <f t="shared" si="9"/>
        <v>Médio</v>
      </c>
      <c r="O386" s="35" t="str">
        <f t="shared" si="7"/>
        <v>Passa</v>
      </c>
      <c r="P386" s="35" t="str">
        <f t="shared" si="10"/>
        <v>Passa</v>
      </c>
      <c r="Q386" s="38">
        <f>IF(AND(O386="Negada",P386="Negada"),0,IF(A386="Ativo",M386*0.08,0))</f>
        <v>7280</v>
      </c>
    </row>
    <row r="387" spans="1:17" ht="15.75" customHeight="1">
      <c r="A387" s="35" t="s">
        <v>82</v>
      </c>
      <c r="B387" s="35" t="s">
        <v>810</v>
      </c>
      <c r="C387" s="35" t="s">
        <v>811</v>
      </c>
      <c r="D387" s="35" t="str">
        <f t="shared" ref="D387:D401" si="12">TEXT(C387,"000\.000\.000\-00")</f>
        <v>000.000.068-00</v>
      </c>
      <c r="E387" s="36">
        <v>25147</v>
      </c>
      <c r="F387" s="37">
        <v>57</v>
      </c>
      <c r="G387" s="35" t="s">
        <v>190</v>
      </c>
      <c r="H387" s="35" t="s">
        <v>134</v>
      </c>
      <c r="I387" s="38">
        <v>26300</v>
      </c>
      <c r="J387" s="38">
        <v>75500</v>
      </c>
      <c r="K387" s="35" t="s">
        <v>50</v>
      </c>
      <c r="L387" s="37">
        <v>25</v>
      </c>
      <c r="M387" s="38">
        <v>44000</v>
      </c>
      <c r="N387" s="35" t="str">
        <f t="shared" si="9"/>
        <v>Médio</v>
      </c>
      <c r="O387" s="35" t="str">
        <f t="shared" si="7"/>
        <v>Passa</v>
      </c>
      <c r="P387" s="35" t="str">
        <f t="shared" si="10"/>
        <v>Negada</v>
      </c>
      <c r="Q387" s="38">
        <f>IF(AND(O387="Negada",P387="Negada"),0,IF(A387="Ativo",M387*0.08,0))</f>
        <v>0</v>
      </c>
    </row>
    <row r="388" spans="1:17" ht="15.75" customHeight="1">
      <c r="A388" s="35" t="s">
        <v>77</v>
      </c>
      <c r="B388" s="35" t="s">
        <v>812</v>
      </c>
      <c r="C388" s="35" t="s">
        <v>813</v>
      </c>
      <c r="D388" s="35" t="str">
        <f t="shared" si="12"/>
        <v>000.000.366-00</v>
      </c>
      <c r="E388" s="36">
        <v>35948</v>
      </c>
      <c r="F388" s="37">
        <v>28</v>
      </c>
      <c r="G388" s="35" t="s">
        <v>151</v>
      </c>
      <c r="H388" s="35" t="s">
        <v>124</v>
      </c>
      <c r="I388" s="38">
        <v>14600</v>
      </c>
      <c r="J388" s="38">
        <v>23000</v>
      </c>
      <c r="K388" s="35" t="s">
        <v>50</v>
      </c>
      <c r="L388" s="37">
        <v>22</v>
      </c>
      <c r="M388" s="38">
        <v>99000</v>
      </c>
      <c r="N388" s="35" t="str">
        <f t="shared" si="9"/>
        <v>Médio</v>
      </c>
      <c r="O388" s="35" t="str">
        <f t="shared" si="7"/>
        <v>Passa</v>
      </c>
      <c r="P388" s="35" t="str">
        <f t="shared" si="10"/>
        <v>Passa</v>
      </c>
      <c r="Q388" s="38">
        <f>IF(AND(O388="Negada",P388="Negada"),0,IF(A388="Ativo",M388*0.08,0))</f>
        <v>7920</v>
      </c>
    </row>
    <row r="389" spans="1:17" ht="15.75" customHeight="1">
      <c r="A389" s="35" t="s">
        <v>77</v>
      </c>
      <c r="B389" s="35" t="s">
        <v>814</v>
      </c>
      <c r="C389" s="35" t="s">
        <v>815</v>
      </c>
      <c r="D389" s="35" t="str">
        <f t="shared" si="12"/>
        <v>000.000.368-00</v>
      </c>
      <c r="E389" s="36">
        <v>27729</v>
      </c>
      <c r="F389" s="37">
        <v>50</v>
      </c>
      <c r="G389" s="35" t="s">
        <v>88</v>
      </c>
      <c r="H389" s="35" t="s">
        <v>89</v>
      </c>
      <c r="I389" s="38">
        <v>22800</v>
      </c>
      <c r="J389" s="38">
        <v>70000</v>
      </c>
      <c r="K389" s="35" t="s">
        <v>50</v>
      </c>
      <c r="L389" s="37">
        <v>14</v>
      </c>
      <c r="M389" s="38">
        <v>25500</v>
      </c>
      <c r="N389" s="35" t="str">
        <f t="shared" si="9"/>
        <v>Médio</v>
      </c>
      <c r="O389" s="35" t="str">
        <f t="shared" si="7"/>
        <v>Passa</v>
      </c>
      <c r="P389" s="35" t="str">
        <f t="shared" si="10"/>
        <v>Negada</v>
      </c>
      <c r="Q389" s="38">
        <f>IF(AND(O389="Negada",P389="Negada"),0,IF(A389="Ativo",M389*0.08,0))</f>
        <v>2040</v>
      </c>
    </row>
    <row r="390" spans="1:17" ht="15.75" customHeight="1">
      <c r="A390" s="35" t="s">
        <v>82</v>
      </c>
      <c r="B390" s="35" t="s">
        <v>640</v>
      </c>
      <c r="C390" s="35" t="s">
        <v>816</v>
      </c>
      <c r="D390" s="35" t="str">
        <f t="shared" si="12"/>
        <v>000.000.371-00</v>
      </c>
      <c r="E390" s="36">
        <v>21190</v>
      </c>
      <c r="F390" s="37">
        <v>68</v>
      </c>
      <c r="G390" s="35" t="s">
        <v>127</v>
      </c>
      <c r="H390" s="35" t="s">
        <v>128</v>
      </c>
      <c r="I390" s="38">
        <v>2800</v>
      </c>
      <c r="J390" s="38">
        <v>76000</v>
      </c>
      <c r="K390" s="35" t="s">
        <v>49</v>
      </c>
      <c r="L390" s="37">
        <v>44</v>
      </c>
      <c r="M390" s="38">
        <v>27000</v>
      </c>
      <c r="N390" s="35" t="str">
        <f t="shared" si="9"/>
        <v>Alto</v>
      </c>
      <c r="O390" s="35" t="str">
        <f t="shared" si="7"/>
        <v>Passa</v>
      </c>
      <c r="P390" s="35" t="str">
        <f t="shared" si="10"/>
        <v>Passa</v>
      </c>
      <c r="Q390" s="38">
        <f>IF(AND(O390="Negada",P390="Negada"),0,IF(A390="Ativo",M390*0.08,0))</f>
        <v>0</v>
      </c>
    </row>
    <row r="391" spans="1:17" ht="15.75" customHeight="1">
      <c r="A391" s="35" t="s">
        <v>77</v>
      </c>
      <c r="B391" s="35" t="s">
        <v>817</v>
      </c>
      <c r="C391" s="35" t="s">
        <v>818</v>
      </c>
      <c r="D391" s="35" t="str">
        <f t="shared" si="12"/>
        <v>000.000.029-00</v>
      </c>
      <c r="E391" s="36">
        <v>31458</v>
      </c>
      <c r="F391" s="37">
        <v>40</v>
      </c>
      <c r="G391" s="35" t="s">
        <v>139</v>
      </c>
      <c r="H391" s="35" t="s">
        <v>128</v>
      </c>
      <c r="I391" s="38">
        <v>21300</v>
      </c>
      <c r="J391" s="38">
        <v>48500</v>
      </c>
      <c r="K391" s="35" t="s">
        <v>49</v>
      </c>
      <c r="L391" s="37">
        <v>6</v>
      </c>
      <c r="M391" s="38">
        <v>62500</v>
      </c>
      <c r="N391" s="35" t="str">
        <f t="shared" si="9"/>
        <v>Baixo</v>
      </c>
      <c r="O391" s="35" t="str">
        <f t="shared" si="7"/>
        <v>Passa</v>
      </c>
      <c r="P391" s="35" t="str">
        <f t="shared" si="10"/>
        <v>Passa</v>
      </c>
      <c r="Q391" s="38">
        <f>IF(AND(O391="Negada",P391="Negada"),0,IF(A391="Ativo",M391*0.08,0))</f>
        <v>5000</v>
      </c>
    </row>
    <row r="392" spans="1:17" ht="15.75" customHeight="1">
      <c r="A392" s="35" t="s">
        <v>176</v>
      </c>
      <c r="B392" s="35" t="s">
        <v>764</v>
      </c>
      <c r="C392" s="35" t="s">
        <v>819</v>
      </c>
      <c r="D392" s="35" t="str">
        <f t="shared" si="12"/>
        <v>000.000.262-00</v>
      </c>
      <c r="E392" s="36">
        <v>23834</v>
      </c>
      <c r="F392" s="37">
        <v>61</v>
      </c>
      <c r="G392" s="35" t="s">
        <v>190</v>
      </c>
      <c r="H392" s="35" t="s">
        <v>134</v>
      </c>
      <c r="I392" s="38">
        <v>9100</v>
      </c>
      <c r="J392" s="38">
        <v>49000</v>
      </c>
      <c r="K392" s="35" t="s">
        <v>49</v>
      </c>
      <c r="L392" s="37">
        <v>1</v>
      </c>
      <c r="M392" s="38">
        <v>48000</v>
      </c>
      <c r="N392" s="35" t="str">
        <f t="shared" si="9"/>
        <v>Baixo</v>
      </c>
      <c r="O392" s="35" t="str">
        <f t="shared" si="7"/>
        <v>Passa</v>
      </c>
      <c r="P392" s="35" t="str">
        <f t="shared" si="10"/>
        <v>Passa</v>
      </c>
      <c r="Q392" s="38">
        <f>IF(AND(O392="Negada",P392="Negada"),0,IF(A392="Ativo",M392*0.08,0))</f>
        <v>0</v>
      </c>
    </row>
    <row r="393" spans="1:17" ht="15.75" customHeight="1">
      <c r="A393" s="35" t="s">
        <v>77</v>
      </c>
      <c r="B393" s="35" t="s">
        <v>820</v>
      </c>
      <c r="C393" s="35" t="s">
        <v>821</v>
      </c>
      <c r="D393" s="35" t="str">
        <f t="shared" si="12"/>
        <v>000.000.021-00</v>
      </c>
      <c r="E393" s="36">
        <v>29575</v>
      </c>
      <c r="F393" s="37">
        <v>45</v>
      </c>
      <c r="G393" s="35" t="s">
        <v>114</v>
      </c>
      <c r="H393" s="35" t="s">
        <v>109</v>
      </c>
      <c r="I393" s="38">
        <v>16200</v>
      </c>
      <c r="J393" s="38">
        <v>59000</v>
      </c>
      <c r="K393" s="35" t="s">
        <v>49</v>
      </c>
      <c r="L393" s="37">
        <v>4</v>
      </c>
      <c r="M393" s="38">
        <v>73500</v>
      </c>
      <c r="N393" s="35" t="str">
        <f t="shared" si="9"/>
        <v>Baixo</v>
      </c>
      <c r="O393" s="35" t="str">
        <f t="shared" si="7"/>
        <v>Passa</v>
      </c>
      <c r="P393" s="35" t="str">
        <f t="shared" si="10"/>
        <v>Passa</v>
      </c>
      <c r="Q393" s="38">
        <f>IF(AND(O393="Negada",P393="Negada"),0,IF(A393="Ativo",M393*0.08,0))</f>
        <v>5880</v>
      </c>
    </row>
    <row r="394" spans="1:17" ht="15.75" customHeight="1">
      <c r="A394" s="35" t="s">
        <v>82</v>
      </c>
      <c r="B394" s="35" t="s">
        <v>822</v>
      </c>
      <c r="C394" s="35" t="s">
        <v>823</v>
      </c>
      <c r="D394" s="35" t="str">
        <f t="shared" si="12"/>
        <v>000.000.292-00</v>
      </c>
      <c r="E394" s="36">
        <v>23358</v>
      </c>
      <c r="F394" s="37">
        <v>62</v>
      </c>
      <c r="G394" s="35" t="s">
        <v>156</v>
      </c>
      <c r="H394" s="35" t="s">
        <v>134</v>
      </c>
      <c r="I394" s="38">
        <v>14600</v>
      </c>
      <c r="J394" s="38">
        <v>15500</v>
      </c>
      <c r="K394" s="35"/>
      <c r="L394" s="37">
        <v>2</v>
      </c>
      <c r="M394" s="38">
        <v>2500</v>
      </c>
      <c r="N394" s="35" t="str">
        <f t="shared" si="9"/>
        <v>Baixo</v>
      </c>
      <c r="O394" s="35" t="str">
        <f t="shared" si="7"/>
        <v>Passa</v>
      </c>
      <c r="P394" s="35" t="str">
        <f t="shared" si="10"/>
        <v>Passa</v>
      </c>
      <c r="Q394" s="38">
        <f>IF(AND(O394="Negada",P394="Negada"),0,IF(A394="Ativo",M394*0.08,0))</f>
        <v>0</v>
      </c>
    </row>
    <row r="395" spans="1:17" ht="15.75" customHeight="1">
      <c r="A395" s="35" t="s">
        <v>77</v>
      </c>
      <c r="B395" s="35" t="s">
        <v>689</v>
      </c>
      <c r="C395" s="35" t="s">
        <v>690</v>
      </c>
      <c r="D395" s="35" t="str">
        <f t="shared" si="12"/>
        <v>000.000.189-00</v>
      </c>
      <c r="E395" s="36">
        <v>31968</v>
      </c>
      <c r="F395" s="37">
        <v>39</v>
      </c>
      <c r="G395" s="35" t="s">
        <v>139</v>
      </c>
      <c r="H395" s="35" t="s">
        <v>128</v>
      </c>
      <c r="I395" s="38">
        <v>8000</v>
      </c>
      <c r="J395" s="38">
        <v>69000</v>
      </c>
      <c r="K395" s="35" t="s">
        <v>49</v>
      </c>
      <c r="L395" s="37">
        <v>15</v>
      </c>
      <c r="M395" s="38">
        <v>6500</v>
      </c>
      <c r="N395" s="35" t="str">
        <f t="shared" si="9"/>
        <v>Médio</v>
      </c>
      <c r="O395" s="35" t="str">
        <f t="shared" si="7"/>
        <v>Passa</v>
      </c>
      <c r="P395" s="35" t="str">
        <f t="shared" si="10"/>
        <v>Passa</v>
      </c>
      <c r="Q395" s="38">
        <f>IF(AND(O395="Negada",P395="Negada"),0,IF(A395="Ativo",M395*0.08,0))</f>
        <v>520</v>
      </c>
    </row>
    <row r="396" spans="1:17" ht="15.75" customHeight="1">
      <c r="A396" s="35" t="s">
        <v>77</v>
      </c>
      <c r="B396" s="35" t="s">
        <v>824</v>
      </c>
      <c r="C396" s="35" t="s">
        <v>825</v>
      </c>
      <c r="D396" s="35" t="str">
        <f t="shared" si="12"/>
        <v>000.000.290-00</v>
      </c>
      <c r="E396" s="36"/>
      <c r="F396" s="37">
        <v>50</v>
      </c>
      <c r="G396" s="35" t="s">
        <v>123</v>
      </c>
      <c r="H396" s="35" t="s">
        <v>124</v>
      </c>
      <c r="I396" s="38">
        <v>23100</v>
      </c>
      <c r="J396" s="38">
        <v>55000</v>
      </c>
      <c r="K396" s="35" t="s">
        <v>49</v>
      </c>
      <c r="L396" s="37">
        <v>9</v>
      </c>
      <c r="M396" s="38">
        <v>17000</v>
      </c>
      <c r="N396" s="35" t="str">
        <f t="shared" si="9"/>
        <v>Baixo</v>
      </c>
      <c r="O396" s="35" t="str">
        <f t="shared" si="7"/>
        <v>Passa</v>
      </c>
      <c r="P396" s="35" t="str">
        <f t="shared" si="10"/>
        <v>Passa</v>
      </c>
      <c r="Q396" s="38">
        <f>IF(AND(O396="Negada",P396="Negada"),0,IF(A396="Ativo",M396*0.08,0))</f>
        <v>1360</v>
      </c>
    </row>
    <row r="397" spans="1:17" ht="15.75" customHeight="1">
      <c r="A397" s="35" t="s">
        <v>82</v>
      </c>
      <c r="B397" s="35" t="s">
        <v>679</v>
      </c>
      <c r="C397" s="35" t="s">
        <v>680</v>
      </c>
      <c r="D397" s="35" t="str">
        <f t="shared" si="12"/>
        <v>000.000.166-00</v>
      </c>
      <c r="E397" s="36">
        <v>33417</v>
      </c>
      <c r="F397" s="37">
        <v>35</v>
      </c>
      <c r="G397" s="35" t="s">
        <v>156</v>
      </c>
      <c r="H397" s="35" t="s">
        <v>134</v>
      </c>
      <c r="I397" s="38">
        <v>12400</v>
      </c>
      <c r="J397" s="38">
        <v>36000</v>
      </c>
      <c r="K397" s="35" t="s">
        <v>49</v>
      </c>
      <c r="L397" s="37">
        <v>3</v>
      </c>
      <c r="M397" s="38">
        <v>71500</v>
      </c>
      <c r="N397" s="35" t="str">
        <f t="shared" si="9"/>
        <v>Baixo</v>
      </c>
      <c r="O397" s="35" t="str">
        <f t="shared" si="7"/>
        <v>Passa</v>
      </c>
      <c r="P397" s="35" t="str">
        <f t="shared" si="10"/>
        <v>Passa</v>
      </c>
      <c r="Q397" s="38">
        <f>IF(AND(O397="Negada",P397="Negada"),0,IF(A397="Ativo",M397*0.08,0))</f>
        <v>0</v>
      </c>
    </row>
    <row r="398" spans="1:17" ht="15.75" customHeight="1">
      <c r="A398" s="35" t="s">
        <v>176</v>
      </c>
      <c r="B398" s="35" t="s">
        <v>826</v>
      </c>
      <c r="C398" s="35" t="s">
        <v>827</v>
      </c>
      <c r="D398" s="35" t="str">
        <f t="shared" si="12"/>
        <v>000.000.145-00</v>
      </c>
      <c r="E398" s="36">
        <v>22845</v>
      </c>
      <c r="F398" s="37">
        <v>64</v>
      </c>
      <c r="G398" s="35" t="s">
        <v>215</v>
      </c>
      <c r="H398" s="35" t="s">
        <v>216</v>
      </c>
      <c r="I398" s="38">
        <v>9400</v>
      </c>
      <c r="J398" s="38"/>
      <c r="K398" s="35" t="s">
        <v>49</v>
      </c>
      <c r="L398" s="37">
        <v>9</v>
      </c>
      <c r="M398" s="38">
        <v>14500</v>
      </c>
      <c r="N398" s="35" t="str">
        <f t="shared" si="9"/>
        <v>Baixo</v>
      </c>
      <c r="O398" s="35" t="str">
        <f t="shared" si="7"/>
        <v>Passa</v>
      </c>
      <c r="P398" s="35" t="str">
        <f t="shared" si="10"/>
        <v>Passa</v>
      </c>
      <c r="Q398" s="38">
        <f>IF(AND(O398="Negada",P398="Negada"),0,IF(A398="Ativo",M398*0.08,0))</f>
        <v>0</v>
      </c>
    </row>
    <row r="399" spans="1:17" ht="15.75" customHeight="1">
      <c r="A399" s="35" t="s">
        <v>77</v>
      </c>
      <c r="B399" s="35" t="s">
        <v>828</v>
      </c>
      <c r="C399" s="35" t="s">
        <v>829</v>
      </c>
      <c r="D399" s="35" t="str">
        <f t="shared" si="12"/>
        <v>000.000.330-00</v>
      </c>
      <c r="E399" s="36">
        <v>32908</v>
      </c>
      <c r="F399" s="37">
        <v>36</v>
      </c>
      <c r="G399" s="35" t="s">
        <v>108</v>
      </c>
      <c r="H399" s="35" t="s">
        <v>109</v>
      </c>
      <c r="I399" s="38">
        <v>16600</v>
      </c>
      <c r="J399" s="38">
        <v>23500</v>
      </c>
      <c r="K399" s="35" t="s">
        <v>49</v>
      </c>
      <c r="L399" s="37">
        <v>10</v>
      </c>
      <c r="M399" s="38">
        <v>21500</v>
      </c>
      <c r="N399" s="35" t="str">
        <f t="shared" si="9"/>
        <v>Baixo</v>
      </c>
      <c r="O399" s="35" t="str">
        <f t="shared" si="7"/>
        <v>Passa</v>
      </c>
      <c r="P399" s="35" t="str">
        <f t="shared" si="10"/>
        <v>Passa</v>
      </c>
      <c r="Q399" s="38">
        <f>IF(AND(O399="Negada",P399="Negada"),0,IF(A399="Ativo",M399*0.08,0))</f>
        <v>1720</v>
      </c>
    </row>
    <row r="400" spans="1:17" ht="15.75" customHeight="1">
      <c r="A400" s="35" t="s">
        <v>77</v>
      </c>
      <c r="B400" s="35" t="s">
        <v>830</v>
      </c>
      <c r="C400" s="35" t="s">
        <v>831</v>
      </c>
      <c r="D400" s="35" t="str">
        <f t="shared" si="12"/>
        <v>000.000.018-00</v>
      </c>
      <c r="E400" s="36">
        <v>36757</v>
      </c>
      <c r="F400" s="37">
        <v>26</v>
      </c>
      <c r="G400" s="35" t="s">
        <v>190</v>
      </c>
      <c r="H400" s="35" t="s">
        <v>134</v>
      </c>
      <c r="I400" s="38">
        <v>18400</v>
      </c>
      <c r="J400" s="38">
        <v>0</v>
      </c>
      <c r="K400" s="35" t="s">
        <v>50</v>
      </c>
      <c r="L400" s="37">
        <v>31</v>
      </c>
      <c r="M400" s="38">
        <v>89500</v>
      </c>
      <c r="N400" s="35" t="str">
        <f t="shared" si="9"/>
        <v>Alto</v>
      </c>
      <c r="O400" s="35" t="str">
        <f t="shared" si="7"/>
        <v>Negada</v>
      </c>
      <c r="P400" s="35" t="str">
        <f t="shared" si="10"/>
        <v>Passa</v>
      </c>
      <c r="Q400" s="38">
        <f>IF(AND(O400="Negada",P400="Negada"),0,IF(A400="Ativo",M400*0.08,0))</f>
        <v>7160</v>
      </c>
    </row>
    <row r="401" spans="1:17" ht="15.75" customHeight="1">
      <c r="A401" s="35" t="s">
        <v>82</v>
      </c>
      <c r="B401" s="35" t="s">
        <v>121</v>
      </c>
      <c r="C401" s="35" t="s">
        <v>122</v>
      </c>
      <c r="D401" s="35" t="str">
        <f t="shared" si="12"/>
        <v>000.000.162-00</v>
      </c>
      <c r="E401" s="36">
        <v>29064</v>
      </c>
      <c r="F401" s="37">
        <v>47</v>
      </c>
      <c r="G401" s="35" t="s">
        <v>123</v>
      </c>
      <c r="H401" s="35" t="s">
        <v>124</v>
      </c>
      <c r="I401" s="38">
        <v>13300</v>
      </c>
      <c r="J401" s="38">
        <v>1000</v>
      </c>
      <c r="K401" s="35" t="s">
        <v>50</v>
      </c>
      <c r="L401" s="37">
        <v>24</v>
      </c>
      <c r="M401" s="38">
        <v>39500</v>
      </c>
      <c r="N401" s="35" t="str">
        <f t="shared" si="9"/>
        <v>Médio</v>
      </c>
      <c r="O401" s="35" t="str">
        <f t="shared" si="7"/>
        <v>Passa</v>
      </c>
      <c r="P401" s="35" t="str">
        <f t="shared" si="10"/>
        <v>Passa</v>
      </c>
      <c r="Q401" s="38">
        <f>IF(AND(O401="Negada",P401="Negada"),0,IF(A401="Ativo",M401*0.08,0))</f>
        <v>0</v>
      </c>
    </row>
    <row r="402" spans="1:17" ht="15.75" customHeight="1"/>
    <row r="403" spans="1:17" ht="15.75" customHeight="1"/>
    <row r="404" spans="1:17" ht="15.75" customHeight="1"/>
    <row r="405" spans="1:17" ht="15.75" customHeight="1"/>
    <row r="406" spans="1:17" ht="15.75" customHeight="1"/>
    <row r="407" spans="1:17" ht="15.75" customHeight="1"/>
    <row r="408" spans="1:17" ht="15.75" customHeight="1"/>
    <row r="409" spans="1:17" ht="15.75" customHeight="1"/>
    <row r="410" spans="1:17" ht="15.75" customHeight="1"/>
    <row r="411" spans="1:17" ht="15.75" customHeight="1"/>
    <row r="412" spans="1:17" ht="15.75" customHeight="1"/>
    <row r="413" spans="1:17" ht="15.75" customHeight="1"/>
    <row r="414" spans="1:17" ht="15.75" customHeight="1"/>
    <row r="415" spans="1:17" ht="15.75" customHeight="1"/>
    <row r="416" spans="1:17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Q401" xr:uid="{00000000-0009-0000-0000-000000000000}"/>
  <conditionalFormatting sqref="N2:N401">
    <cfRule type="cellIs" dxfId="4" priority="1" operator="equal">
      <formula>"Alto"</formula>
    </cfRule>
  </conditionalFormatting>
  <conditionalFormatting sqref="N2:N401">
    <cfRule type="cellIs" dxfId="3" priority="2" operator="equal">
      <formula>"Médio"</formula>
    </cfRule>
  </conditionalFormatting>
  <conditionalFormatting sqref="N2:N401">
    <cfRule type="cellIs" dxfId="2" priority="3" operator="equal">
      <formula>"Baixo"</formula>
    </cfRule>
  </conditionalFormatting>
  <conditionalFormatting sqref="O2:P401">
    <cfRule type="cellIs" dxfId="1" priority="4" operator="equal">
      <formula>"Negada"</formula>
    </cfRule>
  </conditionalFormatting>
  <conditionalFormatting sqref="Q2:Q401">
    <cfRule type="cellIs" dxfId="0" priority="5" operator="equal">
      <formula>0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8293-48BB-485A-9ACD-A1756D4762BB}">
  <dimension ref="A1:E999"/>
  <sheetViews>
    <sheetView workbookViewId="0">
      <pane ySplit="1" topLeftCell="A2" activePane="bottomLeft" state="frozen"/>
      <selection pane="bottomLeft"/>
    </sheetView>
  </sheetViews>
  <sheetFormatPr defaultColWidth="14.42578125" defaultRowHeight="15" customHeight="1"/>
  <cols>
    <col min="1" max="1" width="22.7109375" customWidth="1"/>
    <col min="2" max="2" width="42" customWidth="1"/>
    <col min="3" max="3" width="20" customWidth="1"/>
    <col min="4" max="4" width="44" customWidth="1"/>
    <col min="5" max="5" width="56" customWidth="1"/>
    <col min="6" max="26" width="8.7109375" customWidth="1"/>
  </cols>
  <sheetData>
    <row r="1" spans="1:5" ht="21.75" customHeight="1">
      <c r="A1" s="39" t="s">
        <v>832</v>
      </c>
      <c r="B1" s="39" t="s">
        <v>833</v>
      </c>
      <c r="C1" s="39" t="s">
        <v>834</v>
      </c>
      <c r="D1" s="39" t="s">
        <v>835</v>
      </c>
      <c r="E1" s="39" t="s">
        <v>836</v>
      </c>
    </row>
    <row r="2" spans="1:5" ht="27">
      <c r="A2" s="40" t="s">
        <v>837</v>
      </c>
      <c r="B2" s="41" t="s">
        <v>838</v>
      </c>
      <c r="C2" s="41" t="s">
        <v>839</v>
      </c>
      <c r="D2" s="41" t="s">
        <v>840</v>
      </c>
      <c r="E2" s="41" t="s">
        <v>841</v>
      </c>
    </row>
    <row r="3" spans="1:5" ht="27">
      <c r="A3" s="40" t="s">
        <v>842</v>
      </c>
      <c r="B3" s="41" t="s">
        <v>843</v>
      </c>
      <c r="C3" s="41" t="s">
        <v>70</v>
      </c>
      <c r="D3" s="41" t="s">
        <v>844</v>
      </c>
      <c r="E3" s="41" t="s">
        <v>845</v>
      </c>
    </row>
    <row r="4" spans="1:5" ht="27">
      <c r="A4" s="40" t="s">
        <v>846</v>
      </c>
      <c r="B4" s="41" t="s">
        <v>847</v>
      </c>
      <c r="C4" s="41" t="s">
        <v>839</v>
      </c>
      <c r="D4" s="41" t="s">
        <v>848</v>
      </c>
      <c r="E4" s="41" t="s">
        <v>849</v>
      </c>
    </row>
    <row r="5" spans="1:5" ht="27">
      <c r="A5" s="40" t="s">
        <v>850</v>
      </c>
      <c r="B5" s="41" t="s">
        <v>851</v>
      </c>
      <c r="C5" s="41" t="s">
        <v>839</v>
      </c>
      <c r="D5" s="41" t="s">
        <v>852</v>
      </c>
      <c r="E5" s="41" t="s">
        <v>853</v>
      </c>
    </row>
    <row r="6" spans="1:5" ht="27">
      <c r="A6" s="40" t="s">
        <v>854</v>
      </c>
      <c r="B6" s="41" t="s">
        <v>855</v>
      </c>
      <c r="C6" s="41" t="s">
        <v>60</v>
      </c>
      <c r="D6" s="41" t="s">
        <v>856</v>
      </c>
      <c r="E6" s="41" t="s">
        <v>857</v>
      </c>
    </row>
    <row r="7" spans="1:5" ht="27">
      <c r="A7" s="40" t="s">
        <v>858</v>
      </c>
      <c r="B7" s="41" t="s">
        <v>859</v>
      </c>
      <c r="C7" s="41" t="s">
        <v>61</v>
      </c>
      <c r="D7" s="41" t="s">
        <v>860</v>
      </c>
      <c r="E7" s="41" t="s">
        <v>861</v>
      </c>
    </row>
    <row r="8" spans="1:5" ht="27">
      <c r="A8" s="40" t="s">
        <v>862</v>
      </c>
      <c r="B8" s="41" t="s">
        <v>863</v>
      </c>
      <c r="C8" s="41" t="s">
        <v>864</v>
      </c>
      <c r="D8" s="41" t="s">
        <v>865</v>
      </c>
      <c r="E8" s="41" t="s">
        <v>866</v>
      </c>
    </row>
    <row r="9" spans="1:5" ht="27">
      <c r="A9" s="40" t="s">
        <v>867</v>
      </c>
      <c r="B9" s="41" t="s">
        <v>868</v>
      </c>
      <c r="C9" s="41" t="s">
        <v>64</v>
      </c>
      <c r="D9" s="41" t="s">
        <v>869</v>
      </c>
      <c r="E9" s="41" t="s">
        <v>870</v>
      </c>
    </row>
    <row r="10" spans="1:5" ht="27">
      <c r="A10" s="40" t="s">
        <v>871</v>
      </c>
      <c r="B10" s="41" t="s">
        <v>872</v>
      </c>
      <c r="C10" s="41" t="s">
        <v>65</v>
      </c>
      <c r="D10" s="41" t="s">
        <v>873</v>
      </c>
      <c r="E10" s="41" t="s">
        <v>874</v>
      </c>
    </row>
    <row r="11" spans="1:5">
      <c r="A11" s="40" t="s">
        <v>875</v>
      </c>
      <c r="B11" s="41" t="s">
        <v>876</v>
      </c>
      <c r="C11" s="41" t="s">
        <v>877</v>
      </c>
      <c r="D11" s="41" t="s">
        <v>878</v>
      </c>
      <c r="E11" s="41" t="s">
        <v>879</v>
      </c>
    </row>
    <row r="12" spans="1:5" ht="27">
      <c r="A12" s="40" t="s">
        <v>880</v>
      </c>
      <c r="B12" s="41" t="s">
        <v>881</v>
      </c>
      <c r="C12" s="41" t="s">
        <v>67</v>
      </c>
      <c r="D12" s="41" t="s">
        <v>882</v>
      </c>
      <c r="E12" s="41" t="s">
        <v>883</v>
      </c>
    </row>
    <row r="13" spans="1:5" ht="27">
      <c r="A13" s="40" t="s">
        <v>884</v>
      </c>
      <c r="B13" s="41" t="s">
        <v>885</v>
      </c>
      <c r="C13" s="41" t="s">
        <v>68</v>
      </c>
      <c r="D13" s="41" t="s">
        <v>886</v>
      </c>
      <c r="E13" s="41" t="s">
        <v>887</v>
      </c>
    </row>
    <row r="14" spans="1:5" ht="27">
      <c r="A14" s="40" t="s">
        <v>888</v>
      </c>
      <c r="B14" s="41" t="s">
        <v>889</v>
      </c>
      <c r="C14" s="41" t="s">
        <v>69</v>
      </c>
      <c r="D14" s="41" t="s">
        <v>890</v>
      </c>
      <c r="E14" s="41" t="s">
        <v>891</v>
      </c>
    </row>
    <row r="15" spans="1:5" ht="27">
      <c r="A15" s="40" t="s">
        <v>892</v>
      </c>
      <c r="B15" s="41" t="s">
        <v>893</v>
      </c>
      <c r="C15" s="41" t="s">
        <v>69</v>
      </c>
      <c r="D15" s="41" t="s">
        <v>894</v>
      </c>
      <c r="E15" s="41" t="s">
        <v>895</v>
      </c>
    </row>
    <row r="16" spans="1:5" ht="27">
      <c r="A16" s="40" t="s">
        <v>896</v>
      </c>
      <c r="B16" s="41" t="s">
        <v>897</v>
      </c>
      <c r="C16" s="41" t="s">
        <v>70</v>
      </c>
      <c r="D16" s="41" t="s">
        <v>898</v>
      </c>
      <c r="E16" s="41" t="s">
        <v>899</v>
      </c>
    </row>
    <row r="17" spans="1:5" ht="27">
      <c r="A17" s="40" t="s">
        <v>900</v>
      </c>
      <c r="B17" s="41" t="s">
        <v>901</v>
      </c>
      <c r="C17" s="41" t="s">
        <v>71</v>
      </c>
      <c r="D17" s="41" t="s">
        <v>902</v>
      </c>
      <c r="E17" s="41" t="s">
        <v>903</v>
      </c>
    </row>
    <row r="18" spans="1:5">
      <c r="A18" s="40" t="s">
        <v>904</v>
      </c>
      <c r="B18" s="41" t="s">
        <v>905</v>
      </c>
      <c r="C18" s="41" t="s">
        <v>72</v>
      </c>
      <c r="D18" s="41" t="s">
        <v>906</v>
      </c>
      <c r="E18" s="41" t="s">
        <v>907</v>
      </c>
    </row>
    <row r="19" spans="1:5" ht="27">
      <c r="A19" s="40" t="s">
        <v>908</v>
      </c>
      <c r="B19" s="41" t="s">
        <v>909</v>
      </c>
      <c r="C19" s="41" t="s">
        <v>73</v>
      </c>
      <c r="D19" s="41" t="s">
        <v>910</v>
      </c>
      <c r="E19" s="41" t="s">
        <v>911</v>
      </c>
    </row>
    <row r="20" spans="1:5" ht="15.75" customHeight="1">
      <c r="A20" s="40" t="s">
        <v>912</v>
      </c>
      <c r="B20" s="41" t="s">
        <v>913</v>
      </c>
      <c r="C20" s="41" t="s">
        <v>74</v>
      </c>
      <c r="D20" s="41" t="s">
        <v>914</v>
      </c>
      <c r="E20" s="41" t="s">
        <v>915</v>
      </c>
    </row>
    <row r="21" spans="1:5" ht="15.75" customHeight="1">
      <c r="A21" s="40" t="s">
        <v>916</v>
      </c>
      <c r="B21" s="41" t="s">
        <v>917</v>
      </c>
      <c r="C21" s="41" t="s">
        <v>75</v>
      </c>
      <c r="D21" s="41" t="s">
        <v>918</v>
      </c>
      <c r="E21" s="41" t="s">
        <v>919</v>
      </c>
    </row>
    <row r="22" spans="1:5" ht="15.75" customHeight="1">
      <c r="A22" s="40" t="s">
        <v>920</v>
      </c>
      <c r="B22" s="41" t="s">
        <v>921</v>
      </c>
      <c r="C22" s="41" t="s">
        <v>76</v>
      </c>
      <c r="D22" s="41" t="s">
        <v>922</v>
      </c>
      <c r="E22" s="41" t="s">
        <v>923</v>
      </c>
    </row>
    <row r="23" spans="1:5" ht="15.75" customHeight="1">
      <c r="A23" s="40" t="s">
        <v>924</v>
      </c>
      <c r="B23" s="41" t="s">
        <v>925</v>
      </c>
      <c r="C23" s="41" t="s">
        <v>76</v>
      </c>
      <c r="D23" s="41" t="s">
        <v>926</v>
      </c>
      <c r="E23" s="41" t="s">
        <v>927</v>
      </c>
    </row>
    <row r="24" spans="1:5" ht="15.75" customHeight="1">
      <c r="A24" s="40" t="s">
        <v>928</v>
      </c>
      <c r="B24" s="41" t="s">
        <v>929</v>
      </c>
      <c r="C24" s="41" t="s">
        <v>76</v>
      </c>
      <c r="D24" s="41" t="s">
        <v>930</v>
      </c>
      <c r="E24" s="41" t="s">
        <v>931</v>
      </c>
    </row>
    <row r="25" spans="1:5" ht="15.75" customHeight="1">
      <c r="A25" s="40" t="s">
        <v>932</v>
      </c>
      <c r="B25" s="41" t="s">
        <v>933</v>
      </c>
      <c r="C25" s="41" t="s">
        <v>839</v>
      </c>
      <c r="D25" s="41" t="s">
        <v>934</v>
      </c>
      <c r="E25" s="41" t="s">
        <v>935</v>
      </c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38B9-EC54-4E62-8F49-8C0C46C5BCBA}">
  <dimension ref="A1:I17"/>
  <sheetViews>
    <sheetView tabSelected="1" workbookViewId="0">
      <selection activeCell="B21" sqref="B21"/>
    </sheetView>
  </sheetViews>
  <sheetFormatPr defaultRowHeight="15"/>
  <cols>
    <col min="1" max="1" width="19.140625" bestFit="1" customWidth="1"/>
    <col min="2" max="2" width="17" customWidth="1"/>
    <col min="3" max="3" width="15.140625" customWidth="1"/>
    <col min="4" max="5" width="16.140625" customWidth="1"/>
    <col min="7" max="7" width="17" customWidth="1"/>
    <col min="8" max="8" width="21" customWidth="1"/>
    <col min="9" max="9" width="25.42578125" customWidth="1"/>
  </cols>
  <sheetData>
    <row r="1" spans="1:9" ht="21">
      <c r="A1" s="56" t="s">
        <v>936</v>
      </c>
      <c r="B1" s="57"/>
      <c r="C1" s="57"/>
      <c r="D1" s="57"/>
      <c r="E1" s="57"/>
      <c r="F1" s="57"/>
      <c r="G1" s="57"/>
      <c r="H1" s="57"/>
      <c r="I1" s="58"/>
    </row>
    <row r="2" spans="1:9">
      <c r="A2" s="59" t="s">
        <v>937</v>
      </c>
      <c r="B2" s="54" t="s">
        <v>938</v>
      </c>
      <c r="C2" s="55"/>
      <c r="D2" s="55"/>
      <c r="E2" s="55"/>
      <c r="F2" s="55"/>
      <c r="G2" s="55"/>
      <c r="H2" s="55"/>
      <c r="I2" s="60"/>
    </row>
    <row r="3" spans="1:9">
      <c r="A3" s="61" t="s">
        <v>939</v>
      </c>
      <c r="B3" s="53" t="s">
        <v>940</v>
      </c>
      <c r="C3" s="52"/>
      <c r="D3" s="52"/>
      <c r="E3" s="52"/>
      <c r="F3" s="52"/>
      <c r="G3" s="52"/>
      <c r="H3" s="52"/>
      <c r="I3" s="62"/>
    </row>
    <row r="4" spans="1:9">
      <c r="A4" s="61" t="s">
        <v>941</v>
      </c>
      <c r="B4" s="53" t="s">
        <v>942</v>
      </c>
      <c r="C4" s="52"/>
      <c r="D4" s="52"/>
      <c r="E4" s="52"/>
      <c r="F4" s="52"/>
      <c r="G4" s="52"/>
      <c r="H4" s="52"/>
      <c r="I4" s="62"/>
    </row>
    <row r="5" spans="1:9">
      <c r="A5" s="61" t="s">
        <v>943</v>
      </c>
      <c r="B5" s="53" t="s">
        <v>944</v>
      </c>
      <c r="C5" s="52"/>
      <c r="D5" s="52"/>
      <c r="E5" s="52"/>
      <c r="F5" s="52"/>
      <c r="G5" s="52"/>
      <c r="H5" s="52"/>
      <c r="I5" s="62"/>
    </row>
    <row r="6" spans="1:9">
      <c r="A6" s="63" t="s">
        <v>945</v>
      </c>
      <c r="B6" s="64" t="s">
        <v>946</v>
      </c>
      <c r="C6" s="65"/>
      <c r="D6" s="65"/>
      <c r="E6" s="65"/>
      <c r="F6" s="65"/>
      <c r="G6" s="65"/>
      <c r="H6" s="65"/>
      <c r="I6" s="66"/>
    </row>
    <row r="8" spans="1:9">
      <c r="A8" s="70" t="s">
        <v>947</v>
      </c>
      <c r="B8" s="71" t="s">
        <v>948</v>
      </c>
      <c r="C8" s="72" t="s">
        <v>949</v>
      </c>
    </row>
    <row r="9" spans="1:9">
      <c r="A9" s="73" t="s">
        <v>950</v>
      </c>
      <c r="B9" s="69">
        <f>COUNTIFS('Dados da análise'!$C$2:$C$401,A9)</f>
        <v>181</v>
      </c>
      <c r="C9" s="74">
        <f>B9/$B$13</f>
        <v>0.45250000000000001</v>
      </c>
    </row>
    <row r="10" spans="1:9">
      <c r="A10" s="73" t="s">
        <v>951</v>
      </c>
      <c r="B10" s="69">
        <f>COUNTIFS('Dados da análise'!$C$2:$C$401,A10)</f>
        <v>126</v>
      </c>
      <c r="C10" s="74">
        <f t="shared" ref="C10:C12" si="0">B10/$B$13</f>
        <v>0.315</v>
      </c>
    </row>
    <row r="11" spans="1:9">
      <c r="A11" s="73" t="s">
        <v>952</v>
      </c>
      <c r="B11" s="69">
        <f>COUNTIFS('Dados da análise'!$C$2:$C$401,A11)</f>
        <v>87</v>
      </c>
      <c r="C11" s="74">
        <f t="shared" si="0"/>
        <v>0.2175</v>
      </c>
    </row>
    <row r="12" spans="1:9">
      <c r="A12" s="73" t="s">
        <v>953</v>
      </c>
      <c r="B12" s="69">
        <f>COUNTBLANK('Dados da análise'!$C$2:$C$401)</f>
        <v>6</v>
      </c>
      <c r="C12" s="74">
        <f t="shared" si="0"/>
        <v>1.4999999999999999E-2</v>
      </c>
    </row>
    <row r="13" spans="1:9">
      <c r="A13" s="75" t="s">
        <v>954</v>
      </c>
      <c r="B13" s="76">
        <f>SUM(B9:B12)</f>
        <v>400</v>
      </c>
      <c r="C13" s="77">
        <f>B13/$B$13</f>
        <v>1</v>
      </c>
    </row>
    <row r="16" spans="1:9" ht="18.75">
      <c r="A16" s="81" t="s">
        <v>955</v>
      </c>
      <c r="B16" s="82"/>
      <c r="C16" s="83"/>
    </row>
    <row r="17" spans="1:3" ht="63.75" customHeight="1">
      <c r="A17" s="78" t="s">
        <v>956</v>
      </c>
      <c r="B17" s="79"/>
      <c r="C17" s="80"/>
    </row>
  </sheetData>
  <mergeCells count="8">
    <mergeCell ref="B6:I6"/>
    <mergeCell ref="A16:C16"/>
    <mergeCell ref="A17:C17"/>
    <mergeCell ref="A1:I1"/>
    <mergeCell ref="B2:I2"/>
    <mergeCell ref="B3:I3"/>
    <mergeCell ref="B4:I4"/>
    <mergeCell ref="B5:I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2A36-A15D-480D-8762-838164722E3D}">
  <dimension ref="A1:C401"/>
  <sheetViews>
    <sheetView workbookViewId="0">
      <selection activeCell="E11" sqref="E11"/>
    </sheetView>
  </sheetViews>
  <sheetFormatPr defaultRowHeight="15"/>
  <cols>
    <col min="1" max="1" width="28.28515625" customWidth="1"/>
    <col min="2" max="2" width="23.7109375" customWidth="1"/>
    <col min="3" max="3" width="19.7109375" customWidth="1"/>
  </cols>
  <sheetData>
    <row r="1" spans="1:3" ht="28.5">
      <c r="A1" s="67" t="s">
        <v>957</v>
      </c>
      <c r="B1" s="67" t="s">
        <v>958</v>
      </c>
      <c r="C1" s="67" t="s">
        <v>947</v>
      </c>
    </row>
    <row r="2" spans="1:3">
      <c r="A2" s="68">
        <v>2</v>
      </c>
      <c r="B2" s="68">
        <v>34</v>
      </c>
      <c r="C2" s="68" t="s">
        <v>950</v>
      </c>
    </row>
    <row r="3" spans="1:3">
      <c r="A3" s="68">
        <v>3</v>
      </c>
      <c r="B3" s="68">
        <v>33</v>
      </c>
      <c r="C3" s="68" t="s">
        <v>950</v>
      </c>
    </row>
    <row r="4" spans="1:3">
      <c r="A4" s="68">
        <v>4</v>
      </c>
      <c r="B4" s="68">
        <v>22</v>
      </c>
      <c r="C4" s="68" t="s">
        <v>951</v>
      </c>
    </row>
    <row r="5" spans="1:3">
      <c r="A5" s="68">
        <v>5</v>
      </c>
      <c r="B5" s="68">
        <v>39</v>
      </c>
      <c r="C5" s="68" t="s">
        <v>950</v>
      </c>
    </row>
    <row r="6" spans="1:3">
      <c r="A6" s="68">
        <v>6</v>
      </c>
      <c r="B6" s="68">
        <v>5</v>
      </c>
      <c r="C6" s="68" t="s">
        <v>952</v>
      </c>
    </row>
    <row r="7" spans="1:3">
      <c r="A7" s="68">
        <v>7</v>
      </c>
      <c r="B7" s="68">
        <v>1</v>
      </c>
      <c r="C7" s="68" t="s">
        <v>952</v>
      </c>
    </row>
    <row r="8" spans="1:3">
      <c r="A8" s="68">
        <v>8</v>
      </c>
      <c r="B8" s="68">
        <v>4</v>
      </c>
      <c r="C8" s="68" t="s">
        <v>952</v>
      </c>
    </row>
    <row r="9" spans="1:3">
      <c r="A9" s="68">
        <v>9</v>
      </c>
      <c r="B9" s="68">
        <v>19</v>
      </c>
      <c r="C9" s="68" t="s">
        <v>951</v>
      </c>
    </row>
    <row r="10" spans="1:3">
      <c r="A10" s="68">
        <v>10</v>
      </c>
      <c r="B10" s="68">
        <v>9</v>
      </c>
      <c r="C10" s="68" t="s">
        <v>952</v>
      </c>
    </row>
    <row r="11" spans="1:3">
      <c r="A11" s="68">
        <v>11</v>
      </c>
      <c r="B11" s="68">
        <v>32</v>
      </c>
      <c r="C11" s="68" t="s">
        <v>950</v>
      </c>
    </row>
    <row r="12" spans="1:3">
      <c r="A12" s="68">
        <v>12</v>
      </c>
      <c r="B12" s="68">
        <v>41</v>
      </c>
      <c r="C12" s="68" t="s">
        <v>950</v>
      </c>
    </row>
    <row r="13" spans="1:3">
      <c r="A13" s="68">
        <v>13</v>
      </c>
      <c r="B13" s="68">
        <v>45</v>
      </c>
      <c r="C13" s="68" t="s">
        <v>950</v>
      </c>
    </row>
    <row r="14" spans="1:3">
      <c r="A14" s="68">
        <v>14</v>
      </c>
      <c r="B14" s="68">
        <v>34</v>
      </c>
      <c r="C14" s="68" t="s">
        <v>950</v>
      </c>
    </row>
    <row r="15" spans="1:3">
      <c r="A15" s="68">
        <v>15</v>
      </c>
      <c r="B15" s="68">
        <v>31</v>
      </c>
      <c r="C15" s="68" t="s">
        <v>950</v>
      </c>
    </row>
    <row r="16" spans="1:3">
      <c r="A16" s="68">
        <v>16</v>
      </c>
      <c r="B16" s="68">
        <v>42</v>
      </c>
      <c r="C16" s="68" t="s">
        <v>950</v>
      </c>
    </row>
    <row r="17" spans="1:3">
      <c r="A17" s="68">
        <v>17</v>
      </c>
      <c r="B17" s="68">
        <v>24</v>
      </c>
      <c r="C17" s="68" t="s">
        <v>951</v>
      </c>
    </row>
    <row r="18" spans="1:3">
      <c r="A18" s="68">
        <v>18</v>
      </c>
      <c r="B18" s="68">
        <v>23</v>
      </c>
      <c r="C18" s="68" t="s">
        <v>951</v>
      </c>
    </row>
    <row r="19" spans="1:3">
      <c r="A19" s="68">
        <v>19</v>
      </c>
      <c r="B19" s="68">
        <v>11</v>
      </c>
      <c r="C19" s="68" t="s">
        <v>951</v>
      </c>
    </row>
    <row r="20" spans="1:3">
      <c r="A20" s="68">
        <v>20</v>
      </c>
      <c r="B20" s="68">
        <v>14</v>
      </c>
      <c r="C20" s="68" t="s">
        <v>951</v>
      </c>
    </row>
    <row r="21" spans="1:3">
      <c r="A21" s="68">
        <v>21</v>
      </c>
      <c r="B21" s="68">
        <v>20</v>
      </c>
      <c r="C21" s="68" t="s">
        <v>951</v>
      </c>
    </row>
    <row r="22" spans="1:3">
      <c r="A22" s="68">
        <v>22</v>
      </c>
      <c r="B22" s="68">
        <v>14</v>
      </c>
      <c r="C22" s="68" t="s">
        <v>951</v>
      </c>
    </row>
    <row r="23" spans="1:3">
      <c r="A23" s="68">
        <v>23</v>
      </c>
      <c r="B23" s="68">
        <v>15</v>
      </c>
      <c r="C23" s="68" t="s">
        <v>951</v>
      </c>
    </row>
    <row r="24" spans="1:3">
      <c r="A24" s="68">
        <v>24</v>
      </c>
      <c r="B24" s="68">
        <v>16</v>
      </c>
      <c r="C24" s="68" t="s">
        <v>951</v>
      </c>
    </row>
    <row r="25" spans="1:3">
      <c r="A25" s="68">
        <v>25</v>
      </c>
      <c r="B25" s="68">
        <v>25</v>
      </c>
      <c r="C25" s="68" t="s">
        <v>951</v>
      </c>
    </row>
    <row r="26" spans="1:3">
      <c r="A26" s="68">
        <v>26</v>
      </c>
      <c r="B26" s="68">
        <v>1</v>
      </c>
      <c r="C26" s="68" t="s">
        <v>952</v>
      </c>
    </row>
    <row r="27" spans="1:3">
      <c r="A27" s="68">
        <v>27</v>
      </c>
      <c r="B27" s="68">
        <v>11</v>
      </c>
      <c r="C27" s="68" t="s">
        <v>951</v>
      </c>
    </row>
    <row r="28" spans="1:3">
      <c r="A28" s="68">
        <v>28</v>
      </c>
      <c r="B28" s="68">
        <v>27</v>
      </c>
      <c r="C28" s="68" t="s">
        <v>950</v>
      </c>
    </row>
    <row r="29" spans="1:3">
      <c r="A29" s="68">
        <v>29</v>
      </c>
      <c r="B29" s="68">
        <v>6</v>
      </c>
      <c r="C29" s="68" t="s">
        <v>952</v>
      </c>
    </row>
    <row r="30" spans="1:3">
      <c r="A30" s="68">
        <v>30</v>
      </c>
      <c r="B30" s="68">
        <v>25</v>
      </c>
      <c r="C30" s="68" t="s">
        <v>951</v>
      </c>
    </row>
    <row r="31" spans="1:3">
      <c r="A31" s="68">
        <v>31</v>
      </c>
      <c r="B31" s="68">
        <v>34</v>
      </c>
      <c r="C31" s="68" t="s">
        <v>950</v>
      </c>
    </row>
    <row r="32" spans="1:3">
      <c r="A32" s="68">
        <v>32</v>
      </c>
      <c r="B32" s="68">
        <v>11</v>
      </c>
      <c r="C32" s="68" t="s">
        <v>951</v>
      </c>
    </row>
    <row r="33" spans="1:3">
      <c r="A33" s="68">
        <v>33</v>
      </c>
      <c r="B33" s="68">
        <v>42</v>
      </c>
      <c r="C33" s="68" t="s">
        <v>950</v>
      </c>
    </row>
    <row r="34" spans="1:3">
      <c r="A34" s="68">
        <v>34</v>
      </c>
      <c r="B34" s="68">
        <v>2</v>
      </c>
      <c r="C34" s="68" t="s">
        <v>952</v>
      </c>
    </row>
    <row r="35" spans="1:3">
      <c r="A35" s="68">
        <v>35</v>
      </c>
      <c r="B35" s="68">
        <v>25</v>
      </c>
      <c r="C35" s="68" t="s">
        <v>951</v>
      </c>
    </row>
    <row r="36" spans="1:3">
      <c r="A36" s="68">
        <v>36</v>
      </c>
      <c r="B36" s="68">
        <v>1</v>
      </c>
      <c r="C36" s="68" t="s">
        <v>952</v>
      </c>
    </row>
    <row r="37" spans="1:3">
      <c r="A37" s="68">
        <v>37</v>
      </c>
      <c r="B37" s="68">
        <v>1</v>
      </c>
      <c r="C37" s="68" t="s">
        <v>952</v>
      </c>
    </row>
    <row r="38" spans="1:3">
      <c r="A38" s="68">
        <v>38</v>
      </c>
      <c r="B38" s="68">
        <v>34</v>
      </c>
      <c r="C38" s="68" t="s">
        <v>950</v>
      </c>
    </row>
    <row r="39" spans="1:3">
      <c r="A39" s="68">
        <v>39</v>
      </c>
      <c r="B39" s="68">
        <v>40</v>
      </c>
      <c r="C39" s="68" t="s">
        <v>950</v>
      </c>
    </row>
    <row r="40" spans="1:3">
      <c r="A40" s="68">
        <v>40</v>
      </c>
      <c r="B40" s="68">
        <v>27</v>
      </c>
      <c r="C40" s="68" t="s">
        <v>950</v>
      </c>
    </row>
    <row r="41" spans="1:3">
      <c r="A41" s="68">
        <v>41</v>
      </c>
      <c r="B41" s="68">
        <v>39</v>
      </c>
      <c r="C41" s="68" t="s">
        <v>950</v>
      </c>
    </row>
    <row r="42" spans="1:3">
      <c r="A42" s="68">
        <v>42</v>
      </c>
      <c r="B42" s="68">
        <v>32</v>
      </c>
      <c r="C42" s="68" t="s">
        <v>950</v>
      </c>
    </row>
    <row r="43" spans="1:3">
      <c r="A43" s="68">
        <v>43</v>
      </c>
      <c r="B43" s="68">
        <v>35</v>
      </c>
      <c r="C43" s="68" t="s">
        <v>950</v>
      </c>
    </row>
    <row r="44" spans="1:3">
      <c r="A44" s="68">
        <v>44</v>
      </c>
      <c r="B44" s="68">
        <v>29</v>
      </c>
      <c r="C44" s="68" t="s">
        <v>950</v>
      </c>
    </row>
    <row r="45" spans="1:3">
      <c r="A45" s="68">
        <v>45</v>
      </c>
      <c r="B45" s="68">
        <v>5</v>
      </c>
      <c r="C45" s="68" t="s">
        <v>952</v>
      </c>
    </row>
    <row r="46" spans="1:3">
      <c r="A46" s="68">
        <v>46</v>
      </c>
      <c r="B46" s="68">
        <v>32</v>
      </c>
      <c r="C46" s="68" t="s">
        <v>950</v>
      </c>
    </row>
    <row r="47" spans="1:3">
      <c r="A47" s="68">
        <v>47</v>
      </c>
      <c r="B47" s="68">
        <v>25</v>
      </c>
      <c r="C47" s="68" t="s">
        <v>951</v>
      </c>
    </row>
    <row r="48" spans="1:3">
      <c r="A48" s="68">
        <v>48</v>
      </c>
      <c r="B48" s="68">
        <v>12</v>
      </c>
      <c r="C48" s="68" t="s">
        <v>951</v>
      </c>
    </row>
    <row r="49" spans="1:3">
      <c r="A49" s="68">
        <v>49</v>
      </c>
      <c r="B49" s="68">
        <v>43</v>
      </c>
      <c r="C49" s="68" t="s">
        <v>950</v>
      </c>
    </row>
    <row r="50" spans="1:3">
      <c r="A50" s="68">
        <v>50</v>
      </c>
      <c r="B50" s="68">
        <v>20</v>
      </c>
      <c r="C50" s="68" t="s">
        <v>951</v>
      </c>
    </row>
    <row r="51" spans="1:3">
      <c r="A51" s="68">
        <v>51</v>
      </c>
      <c r="B51" s="68">
        <v>0</v>
      </c>
      <c r="C51" s="68" t="s">
        <v>952</v>
      </c>
    </row>
    <row r="52" spans="1:3">
      <c r="A52" s="68">
        <v>52</v>
      </c>
      <c r="B52" s="68">
        <v>3</v>
      </c>
      <c r="C52" s="68" t="s">
        <v>952</v>
      </c>
    </row>
    <row r="53" spans="1:3">
      <c r="A53" s="68">
        <v>53</v>
      </c>
      <c r="B53" s="68">
        <v>3</v>
      </c>
      <c r="C53" s="68" t="s">
        <v>952</v>
      </c>
    </row>
    <row r="54" spans="1:3">
      <c r="A54" s="68">
        <v>54</v>
      </c>
      <c r="B54" s="68">
        <v>0</v>
      </c>
      <c r="C54" s="68" t="s">
        <v>952</v>
      </c>
    </row>
    <row r="55" spans="1:3">
      <c r="A55" s="68">
        <v>55</v>
      </c>
      <c r="B55" s="68">
        <v>12</v>
      </c>
      <c r="C55" s="68" t="s">
        <v>951</v>
      </c>
    </row>
    <row r="56" spans="1:3">
      <c r="A56" s="68">
        <v>56</v>
      </c>
      <c r="B56" s="68">
        <v>25</v>
      </c>
      <c r="C56" s="68" t="s">
        <v>951</v>
      </c>
    </row>
    <row r="57" spans="1:3">
      <c r="A57" s="68">
        <v>57</v>
      </c>
      <c r="B57" s="68">
        <v>15</v>
      </c>
      <c r="C57" s="68" t="s">
        <v>951</v>
      </c>
    </row>
    <row r="58" spans="1:3">
      <c r="A58" s="68">
        <v>58</v>
      </c>
      <c r="B58" s="68">
        <v>35</v>
      </c>
      <c r="C58" s="68" t="s">
        <v>950</v>
      </c>
    </row>
    <row r="59" spans="1:3">
      <c r="A59" s="68">
        <v>59</v>
      </c>
      <c r="B59" s="68">
        <v>38</v>
      </c>
      <c r="C59" s="68" t="s">
        <v>950</v>
      </c>
    </row>
    <row r="60" spans="1:3">
      <c r="A60" s="68">
        <v>60</v>
      </c>
      <c r="B60" s="68">
        <v>2</v>
      </c>
      <c r="C60" s="68" t="s">
        <v>952</v>
      </c>
    </row>
    <row r="61" spans="1:3">
      <c r="A61" s="68">
        <v>61</v>
      </c>
      <c r="B61" s="68">
        <v>22</v>
      </c>
      <c r="C61" s="68" t="s">
        <v>951</v>
      </c>
    </row>
    <row r="62" spans="1:3">
      <c r="A62" s="68">
        <v>62</v>
      </c>
      <c r="B62" s="68">
        <v>20</v>
      </c>
      <c r="C62" s="68" t="s">
        <v>951</v>
      </c>
    </row>
    <row r="63" spans="1:3">
      <c r="A63" s="68">
        <v>63</v>
      </c>
      <c r="B63" s="68">
        <v>8</v>
      </c>
      <c r="C63" s="68" t="s">
        <v>952</v>
      </c>
    </row>
    <row r="64" spans="1:3">
      <c r="A64" s="68">
        <v>64</v>
      </c>
      <c r="B64" s="68">
        <v>40</v>
      </c>
      <c r="C64" s="68" t="s">
        <v>950</v>
      </c>
    </row>
    <row r="65" spans="1:3">
      <c r="A65" s="68">
        <v>65</v>
      </c>
      <c r="B65" s="68">
        <v>38</v>
      </c>
      <c r="C65" s="68" t="s">
        <v>950</v>
      </c>
    </row>
    <row r="66" spans="1:3">
      <c r="A66" s="68">
        <v>66</v>
      </c>
      <c r="B66" s="68">
        <v>33</v>
      </c>
      <c r="C66" s="68" t="s">
        <v>950</v>
      </c>
    </row>
    <row r="67" spans="1:3">
      <c r="A67" s="68">
        <v>67</v>
      </c>
      <c r="B67" s="68">
        <v>28</v>
      </c>
      <c r="C67" s="68" t="s">
        <v>950</v>
      </c>
    </row>
    <row r="68" spans="1:3">
      <c r="A68" s="68">
        <v>68</v>
      </c>
      <c r="B68" s="68">
        <v>25</v>
      </c>
      <c r="C68" s="68" t="s">
        <v>951</v>
      </c>
    </row>
    <row r="69" spans="1:3">
      <c r="A69" s="68">
        <v>69</v>
      </c>
      <c r="B69" s="68">
        <v>26</v>
      </c>
      <c r="C69" s="68" t="s">
        <v>950</v>
      </c>
    </row>
    <row r="70" spans="1:3">
      <c r="A70" s="68">
        <v>70</v>
      </c>
      <c r="B70" s="68">
        <v>13</v>
      </c>
      <c r="C70" s="68" t="s">
        <v>951</v>
      </c>
    </row>
    <row r="71" spans="1:3">
      <c r="A71" s="68">
        <v>71</v>
      </c>
      <c r="B71" s="68">
        <v>8</v>
      </c>
      <c r="C71" s="68" t="s">
        <v>952</v>
      </c>
    </row>
    <row r="72" spans="1:3">
      <c r="A72" s="68">
        <v>72</v>
      </c>
      <c r="B72" s="68">
        <v>20</v>
      </c>
      <c r="C72" s="68" t="s">
        <v>951</v>
      </c>
    </row>
    <row r="73" spans="1:3">
      <c r="A73" s="68">
        <v>73</v>
      </c>
      <c r="B73" s="68">
        <v>33</v>
      </c>
      <c r="C73" s="68" t="s">
        <v>950</v>
      </c>
    </row>
    <row r="74" spans="1:3">
      <c r="A74" s="68">
        <v>74</v>
      </c>
      <c r="B74" s="68">
        <v>10</v>
      </c>
      <c r="C74" s="68" t="s">
        <v>952</v>
      </c>
    </row>
    <row r="75" spans="1:3">
      <c r="A75" s="68">
        <v>75</v>
      </c>
      <c r="B75" s="68">
        <v>18</v>
      </c>
      <c r="C75" s="68" t="s">
        <v>951</v>
      </c>
    </row>
    <row r="76" spans="1:3">
      <c r="A76" s="68">
        <v>76</v>
      </c>
      <c r="B76" s="68">
        <v>42</v>
      </c>
      <c r="C76" s="68" t="s">
        <v>950</v>
      </c>
    </row>
    <row r="77" spans="1:3">
      <c r="A77" s="68">
        <v>77</v>
      </c>
      <c r="B77" s="68">
        <v>38</v>
      </c>
      <c r="C77" s="68" t="s">
        <v>950</v>
      </c>
    </row>
    <row r="78" spans="1:3">
      <c r="A78" s="68">
        <v>78</v>
      </c>
      <c r="B78" s="68">
        <v>26</v>
      </c>
      <c r="C78" s="68" t="s">
        <v>950</v>
      </c>
    </row>
    <row r="79" spans="1:3">
      <c r="A79" s="68">
        <v>79</v>
      </c>
      <c r="B79" s="68">
        <v>11</v>
      </c>
      <c r="C79" s="68" t="s">
        <v>951</v>
      </c>
    </row>
    <row r="80" spans="1:3">
      <c r="A80" s="68">
        <v>80</v>
      </c>
      <c r="B80" s="68">
        <v>11</v>
      </c>
      <c r="C80" s="68" t="s">
        <v>951</v>
      </c>
    </row>
    <row r="81" spans="1:3">
      <c r="A81" s="68">
        <v>81</v>
      </c>
      <c r="B81" s="68">
        <v>43</v>
      </c>
      <c r="C81" s="68" t="s">
        <v>950</v>
      </c>
    </row>
    <row r="82" spans="1:3">
      <c r="A82" s="68">
        <v>82</v>
      </c>
      <c r="B82" s="68">
        <v>26</v>
      </c>
      <c r="C82" s="68" t="s">
        <v>950</v>
      </c>
    </row>
    <row r="83" spans="1:3">
      <c r="A83" s="68">
        <v>83</v>
      </c>
      <c r="B83" s="68">
        <v>24</v>
      </c>
      <c r="C83" s="68" t="s">
        <v>951</v>
      </c>
    </row>
    <row r="84" spans="1:3">
      <c r="A84" s="68">
        <v>84</v>
      </c>
      <c r="B84" s="68">
        <v>12</v>
      </c>
      <c r="C84" s="68" t="s">
        <v>951</v>
      </c>
    </row>
    <row r="85" spans="1:3">
      <c r="A85" s="68">
        <v>85</v>
      </c>
      <c r="B85" s="68">
        <v>33</v>
      </c>
      <c r="C85" s="68" t="s">
        <v>950</v>
      </c>
    </row>
    <row r="86" spans="1:3">
      <c r="A86" s="68">
        <v>86</v>
      </c>
      <c r="B86" s="68">
        <v>19</v>
      </c>
      <c r="C86" s="68" t="s">
        <v>951</v>
      </c>
    </row>
    <row r="87" spans="1:3">
      <c r="A87" s="68">
        <v>87</v>
      </c>
      <c r="B87" s="68">
        <v>10</v>
      </c>
      <c r="C87" s="68" t="s">
        <v>952</v>
      </c>
    </row>
    <row r="88" spans="1:3">
      <c r="A88" s="68">
        <v>88</v>
      </c>
      <c r="B88" s="68">
        <v>38</v>
      </c>
      <c r="C88" s="68" t="s">
        <v>950</v>
      </c>
    </row>
    <row r="89" spans="1:3">
      <c r="A89" s="68">
        <v>89</v>
      </c>
      <c r="B89" s="68">
        <v>33</v>
      </c>
      <c r="C89" s="68" t="s">
        <v>950</v>
      </c>
    </row>
    <row r="90" spans="1:3">
      <c r="A90" s="68">
        <v>90</v>
      </c>
      <c r="B90" s="68">
        <v>39</v>
      </c>
      <c r="C90" s="68" t="s">
        <v>950</v>
      </c>
    </row>
    <row r="91" spans="1:3">
      <c r="A91" s="68">
        <v>91</v>
      </c>
      <c r="B91" s="68">
        <v>20</v>
      </c>
      <c r="C91" s="68" t="s">
        <v>951</v>
      </c>
    </row>
    <row r="92" spans="1:3">
      <c r="A92" s="68">
        <v>92</v>
      </c>
      <c r="B92" s="68">
        <v>42</v>
      </c>
      <c r="C92" s="68" t="s">
        <v>950</v>
      </c>
    </row>
    <row r="93" spans="1:3">
      <c r="A93" s="68">
        <v>93</v>
      </c>
      <c r="B93" s="68">
        <v>11</v>
      </c>
      <c r="C93" s="68" t="s">
        <v>951</v>
      </c>
    </row>
    <row r="94" spans="1:3">
      <c r="A94" s="68">
        <v>94</v>
      </c>
      <c r="B94" s="68">
        <v>5</v>
      </c>
      <c r="C94" s="68" t="s">
        <v>952</v>
      </c>
    </row>
    <row r="95" spans="1:3">
      <c r="A95" s="68">
        <v>95</v>
      </c>
      <c r="B95" s="68">
        <v>30</v>
      </c>
      <c r="C95" s="68" t="s">
        <v>950</v>
      </c>
    </row>
    <row r="96" spans="1:3">
      <c r="A96" s="68">
        <v>96</v>
      </c>
      <c r="B96" s="68">
        <v>27</v>
      </c>
      <c r="C96" s="68" t="s">
        <v>950</v>
      </c>
    </row>
    <row r="97" spans="1:3">
      <c r="A97" s="68">
        <v>97</v>
      </c>
      <c r="B97" s="68">
        <v>3</v>
      </c>
      <c r="C97" s="68" t="s">
        <v>952</v>
      </c>
    </row>
    <row r="98" spans="1:3">
      <c r="A98" s="68">
        <v>98</v>
      </c>
      <c r="B98" s="68">
        <v>44</v>
      </c>
      <c r="C98" s="68" t="s">
        <v>950</v>
      </c>
    </row>
    <row r="99" spans="1:3">
      <c r="A99" s="68">
        <v>99</v>
      </c>
      <c r="B99" s="68">
        <v>3</v>
      </c>
      <c r="C99" s="68" t="s">
        <v>952</v>
      </c>
    </row>
    <row r="100" spans="1:3">
      <c r="A100" s="68">
        <v>100</v>
      </c>
      <c r="B100" s="68">
        <v>36</v>
      </c>
      <c r="C100" s="68" t="s">
        <v>950</v>
      </c>
    </row>
    <row r="101" spans="1:3">
      <c r="A101" s="68">
        <v>101</v>
      </c>
      <c r="B101" s="68">
        <v>16</v>
      </c>
      <c r="C101" s="68" t="s">
        <v>951</v>
      </c>
    </row>
    <row r="102" spans="1:3">
      <c r="A102" s="68">
        <v>102</v>
      </c>
      <c r="B102" s="68">
        <v>27</v>
      </c>
      <c r="C102" s="68" t="s">
        <v>950</v>
      </c>
    </row>
    <row r="103" spans="1:3">
      <c r="A103" s="68">
        <v>103</v>
      </c>
      <c r="B103" s="68">
        <v>15</v>
      </c>
      <c r="C103" s="68" t="s">
        <v>951</v>
      </c>
    </row>
    <row r="104" spans="1:3">
      <c r="A104" s="68">
        <v>104</v>
      </c>
      <c r="B104" s="68">
        <v>42</v>
      </c>
      <c r="C104" s="68" t="s">
        <v>950</v>
      </c>
    </row>
    <row r="105" spans="1:3">
      <c r="A105" s="68">
        <v>105</v>
      </c>
      <c r="B105" s="68">
        <v>26</v>
      </c>
      <c r="C105" s="68" t="s">
        <v>950</v>
      </c>
    </row>
    <row r="106" spans="1:3">
      <c r="A106" s="68">
        <v>106</v>
      </c>
      <c r="B106" s="68">
        <v>15</v>
      </c>
      <c r="C106" s="68" t="s">
        <v>951</v>
      </c>
    </row>
    <row r="107" spans="1:3">
      <c r="A107" s="68">
        <v>107</v>
      </c>
      <c r="B107" s="68">
        <v>24</v>
      </c>
      <c r="C107" s="68" t="s">
        <v>951</v>
      </c>
    </row>
    <row r="108" spans="1:3">
      <c r="A108" s="68">
        <v>108</v>
      </c>
      <c r="B108" s="68">
        <v>37</v>
      </c>
      <c r="C108" s="68" t="s">
        <v>950</v>
      </c>
    </row>
    <row r="109" spans="1:3">
      <c r="A109" s="68">
        <v>109</v>
      </c>
      <c r="B109" s="68">
        <v>11</v>
      </c>
      <c r="C109" s="68" t="s">
        <v>951</v>
      </c>
    </row>
    <row r="110" spans="1:3">
      <c r="A110" s="68">
        <v>110</v>
      </c>
      <c r="B110" s="68">
        <v>10</v>
      </c>
      <c r="C110" s="68" t="s">
        <v>952</v>
      </c>
    </row>
    <row r="111" spans="1:3">
      <c r="A111" s="68">
        <v>111</v>
      </c>
      <c r="B111" s="68">
        <v>35</v>
      </c>
      <c r="C111" s="68" t="s">
        <v>950</v>
      </c>
    </row>
    <row r="112" spans="1:3">
      <c r="A112" s="68">
        <v>112</v>
      </c>
      <c r="B112" s="68">
        <v>27</v>
      </c>
      <c r="C112" s="68" t="s">
        <v>950</v>
      </c>
    </row>
    <row r="113" spans="1:3">
      <c r="A113" s="68">
        <v>113</v>
      </c>
      <c r="B113" s="68">
        <v>31</v>
      </c>
      <c r="C113" s="68" t="s">
        <v>950</v>
      </c>
    </row>
    <row r="114" spans="1:3">
      <c r="A114" s="68">
        <v>114</v>
      </c>
      <c r="B114" s="68">
        <v>16</v>
      </c>
      <c r="C114" s="68" t="s">
        <v>951</v>
      </c>
    </row>
    <row r="115" spans="1:3">
      <c r="A115" s="68">
        <v>115</v>
      </c>
      <c r="B115" s="68">
        <v>28</v>
      </c>
      <c r="C115" s="68" t="s">
        <v>950</v>
      </c>
    </row>
    <row r="116" spans="1:3">
      <c r="A116" s="68">
        <v>116</v>
      </c>
      <c r="B116" s="68">
        <v>12</v>
      </c>
      <c r="C116" s="68" t="s">
        <v>951</v>
      </c>
    </row>
    <row r="117" spans="1:3">
      <c r="A117" s="68">
        <v>117</v>
      </c>
      <c r="B117" s="68">
        <v>42</v>
      </c>
      <c r="C117" s="68" t="s">
        <v>950</v>
      </c>
    </row>
    <row r="118" spans="1:3">
      <c r="A118" s="68">
        <v>118</v>
      </c>
      <c r="B118" s="68">
        <v>10</v>
      </c>
      <c r="C118" s="68" t="s">
        <v>952</v>
      </c>
    </row>
    <row r="119" spans="1:3">
      <c r="A119" s="68">
        <v>119</v>
      </c>
      <c r="B119" s="68">
        <v>35</v>
      </c>
      <c r="C119" s="68" t="s">
        <v>950</v>
      </c>
    </row>
    <row r="120" spans="1:3">
      <c r="A120" s="68">
        <v>120</v>
      </c>
      <c r="B120" s="68">
        <v>18</v>
      </c>
      <c r="C120" s="68" t="s">
        <v>951</v>
      </c>
    </row>
    <row r="121" spans="1:3">
      <c r="A121" s="68">
        <v>121</v>
      </c>
      <c r="B121" s="68">
        <v>32</v>
      </c>
      <c r="C121" s="68" t="s">
        <v>950</v>
      </c>
    </row>
    <row r="122" spans="1:3">
      <c r="A122" s="68">
        <v>122</v>
      </c>
      <c r="B122" s="68">
        <v>22</v>
      </c>
      <c r="C122" s="68" t="s">
        <v>951</v>
      </c>
    </row>
    <row r="123" spans="1:3">
      <c r="A123" s="68">
        <v>123</v>
      </c>
      <c r="B123" s="68">
        <v>15</v>
      </c>
      <c r="C123" s="68" t="s">
        <v>951</v>
      </c>
    </row>
    <row r="124" spans="1:3">
      <c r="A124" s="68">
        <v>124</v>
      </c>
      <c r="B124" s="68">
        <v>40</v>
      </c>
      <c r="C124" s="68" t="s">
        <v>950</v>
      </c>
    </row>
    <row r="125" spans="1:3">
      <c r="A125" s="68">
        <v>125</v>
      </c>
      <c r="B125" s="68">
        <v>43</v>
      </c>
      <c r="C125" s="68" t="s">
        <v>950</v>
      </c>
    </row>
    <row r="126" spans="1:3">
      <c r="A126" s="68">
        <v>126</v>
      </c>
      <c r="B126" s="68"/>
      <c r="C126" s="68"/>
    </row>
    <row r="127" spans="1:3">
      <c r="A127" s="68">
        <v>127</v>
      </c>
      <c r="B127" s="68">
        <v>45</v>
      </c>
      <c r="C127" s="68" t="s">
        <v>950</v>
      </c>
    </row>
    <row r="128" spans="1:3">
      <c r="A128" s="68">
        <v>128</v>
      </c>
      <c r="B128" s="68">
        <v>3</v>
      </c>
      <c r="C128" s="68" t="s">
        <v>952</v>
      </c>
    </row>
    <row r="129" spans="1:3">
      <c r="A129" s="68">
        <v>129</v>
      </c>
      <c r="B129" s="68">
        <v>3</v>
      </c>
      <c r="C129" s="68" t="s">
        <v>952</v>
      </c>
    </row>
    <row r="130" spans="1:3">
      <c r="A130" s="68">
        <v>130</v>
      </c>
      <c r="B130" s="68">
        <v>35</v>
      </c>
      <c r="C130" s="68" t="s">
        <v>950</v>
      </c>
    </row>
    <row r="131" spans="1:3">
      <c r="A131" s="68">
        <v>131</v>
      </c>
      <c r="B131" s="68">
        <v>39</v>
      </c>
      <c r="C131" s="68" t="s">
        <v>950</v>
      </c>
    </row>
    <row r="132" spans="1:3">
      <c r="A132" s="68">
        <v>132</v>
      </c>
      <c r="B132" s="68">
        <v>6</v>
      </c>
      <c r="C132" s="68" t="s">
        <v>952</v>
      </c>
    </row>
    <row r="133" spans="1:3">
      <c r="A133" s="68">
        <v>133</v>
      </c>
      <c r="B133" s="68">
        <v>30</v>
      </c>
      <c r="C133" s="68" t="s">
        <v>950</v>
      </c>
    </row>
    <row r="134" spans="1:3">
      <c r="A134" s="68">
        <v>134</v>
      </c>
      <c r="B134" s="68">
        <v>34</v>
      </c>
      <c r="C134" s="68" t="s">
        <v>950</v>
      </c>
    </row>
    <row r="135" spans="1:3">
      <c r="A135" s="68">
        <v>135</v>
      </c>
      <c r="B135" s="68">
        <v>19</v>
      </c>
      <c r="C135" s="68" t="s">
        <v>951</v>
      </c>
    </row>
    <row r="136" spans="1:3">
      <c r="A136" s="68">
        <v>136</v>
      </c>
      <c r="B136" s="68">
        <v>9</v>
      </c>
      <c r="C136" s="68" t="s">
        <v>952</v>
      </c>
    </row>
    <row r="137" spans="1:3">
      <c r="A137" s="68">
        <v>137</v>
      </c>
      <c r="B137" s="68">
        <v>22</v>
      </c>
      <c r="C137" s="68" t="s">
        <v>951</v>
      </c>
    </row>
    <row r="138" spans="1:3">
      <c r="A138" s="68">
        <v>138</v>
      </c>
      <c r="B138" s="68">
        <v>18</v>
      </c>
      <c r="C138" s="68" t="s">
        <v>951</v>
      </c>
    </row>
    <row r="139" spans="1:3">
      <c r="A139" s="68">
        <v>139</v>
      </c>
      <c r="B139" s="68">
        <v>1</v>
      </c>
      <c r="C139" s="68" t="s">
        <v>952</v>
      </c>
    </row>
    <row r="140" spans="1:3">
      <c r="A140" s="68">
        <v>140</v>
      </c>
      <c r="B140" s="68">
        <v>41</v>
      </c>
      <c r="C140" s="68" t="s">
        <v>950</v>
      </c>
    </row>
    <row r="141" spans="1:3">
      <c r="A141" s="68">
        <v>141</v>
      </c>
      <c r="B141" s="68">
        <v>10</v>
      </c>
      <c r="C141" s="68" t="s">
        <v>952</v>
      </c>
    </row>
    <row r="142" spans="1:3">
      <c r="A142" s="68">
        <v>142</v>
      </c>
      <c r="B142" s="68">
        <v>16</v>
      </c>
      <c r="C142" s="68" t="s">
        <v>951</v>
      </c>
    </row>
    <row r="143" spans="1:3">
      <c r="A143" s="68">
        <v>143</v>
      </c>
      <c r="B143" s="68">
        <v>23</v>
      </c>
      <c r="C143" s="68" t="s">
        <v>951</v>
      </c>
    </row>
    <row r="144" spans="1:3">
      <c r="A144" s="68">
        <v>144</v>
      </c>
      <c r="B144" s="68">
        <v>34</v>
      </c>
      <c r="C144" s="68" t="s">
        <v>950</v>
      </c>
    </row>
    <row r="145" spans="1:3">
      <c r="A145" s="68">
        <v>145</v>
      </c>
      <c r="B145" s="68">
        <v>29</v>
      </c>
      <c r="C145" s="68" t="s">
        <v>950</v>
      </c>
    </row>
    <row r="146" spans="1:3">
      <c r="A146" s="68">
        <v>146</v>
      </c>
      <c r="B146" s="68">
        <v>25</v>
      </c>
      <c r="C146" s="68" t="s">
        <v>951</v>
      </c>
    </row>
    <row r="147" spans="1:3">
      <c r="A147" s="68">
        <v>147</v>
      </c>
      <c r="B147" s="68">
        <v>33</v>
      </c>
      <c r="C147" s="68" t="s">
        <v>950</v>
      </c>
    </row>
    <row r="148" spans="1:3">
      <c r="A148" s="68">
        <v>148</v>
      </c>
      <c r="B148" s="68">
        <v>31</v>
      </c>
      <c r="C148" s="68" t="s">
        <v>950</v>
      </c>
    </row>
    <row r="149" spans="1:3">
      <c r="A149" s="68">
        <v>149</v>
      </c>
      <c r="B149" s="68">
        <v>33</v>
      </c>
      <c r="C149" s="68" t="s">
        <v>950</v>
      </c>
    </row>
    <row r="150" spans="1:3">
      <c r="A150" s="68">
        <v>150</v>
      </c>
      <c r="B150" s="68">
        <v>12</v>
      </c>
      <c r="C150" s="68" t="s">
        <v>951</v>
      </c>
    </row>
    <row r="151" spans="1:3">
      <c r="A151" s="68">
        <v>151</v>
      </c>
      <c r="B151" s="68">
        <v>0</v>
      </c>
      <c r="C151" s="68" t="s">
        <v>952</v>
      </c>
    </row>
    <row r="152" spans="1:3">
      <c r="A152" s="68">
        <v>152</v>
      </c>
      <c r="B152" s="68">
        <v>30</v>
      </c>
      <c r="C152" s="68" t="s">
        <v>950</v>
      </c>
    </row>
    <row r="153" spans="1:3">
      <c r="A153" s="68">
        <v>153</v>
      </c>
      <c r="B153" s="68">
        <v>33</v>
      </c>
      <c r="C153" s="68" t="s">
        <v>950</v>
      </c>
    </row>
    <row r="154" spans="1:3">
      <c r="A154" s="68">
        <v>154</v>
      </c>
      <c r="B154" s="68">
        <v>28</v>
      </c>
      <c r="C154" s="68" t="s">
        <v>950</v>
      </c>
    </row>
    <row r="155" spans="1:3">
      <c r="A155" s="68">
        <v>155</v>
      </c>
      <c r="B155" s="68">
        <v>38</v>
      </c>
      <c r="C155" s="68" t="s">
        <v>950</v>
      </c>
    </row>
    <row r="156" spans="1:3">
      <c r="A156" s="68">
        <v>156</v>
      </c>
      <c r="B156" s="68">
        <v>38</v>
      </c>
      <c r="C156" s="68" t="s">
        <v>950</v>
      </c>
    </row>
    <row r="157" spans="1:3">
      <c r="A157" s="68">
        <v>157</v>
      </c>
      <c r="B157" s="68">
        <v>10</v>
      </c>
      <c r="C157" s="68" t="s">
        <v>952</v>
      </c>
    </row>
    <row r="158" spans="1:3">
      <c r="A158" s="68">
        <v>158</v>
      </c>
      <c r="B158" s="68">
        <v>25</v>
      </c>
      <c r="C158" s="68" t="s">
        <v>951</v>
      </c>
    </row>
    <row r="159" spans="1:3">
      <c r="A159" s="68">
        <v>159</v>
      </c>
      <c r="B159" s="68">
        <v>44</v>
      </c>
      <c r="C159" s="68" t="s">
        <v>950</v>
      </c>
    </row>
    <row r="160" spans="1:3">
      <c r="A160" s="68">
        <v>160</v>
      </c>
      <c r="B160" s="68">
        <v>29</v>
      </c>
      <c r="C160" s="68" t="s">
        <v>950</v>
      </c>
    </row>
    <row r="161" spans="1:3">
      <c r="A161" s="68">
        <v>161</v>
      </c>
      <c r="B161" s="68">
        <v>40</v>
      </c>
      <c r="C161" s="68" t="s">
        <v>950</v>
      </c>
    </row>
    <row r="162" spans="1:3">
      <c r="A162" s="68">
        <v>162</v>
      </c>
      <c r="B162" s="68">
        <v>13</v>
      </c>
      <c r="C162" s="68" t="s">
        <v>951</v>
      </c>
    </row>
    <row r="163" spans="1:3">
      <c r="A163" s="68">
        <v>163</v>
      </c>
      <c r="B163" s="68">
        <v>30</v>
      </c>
      <c r="C163" s="68" t="s">
        <v>950</v>
      </c>
    </row>
    <row r="164" spans="1:3">
      <c r="A164" s="68">
        <v>164</v>
      </c>
      <c r="B164" s="68">
        <v>6</v>
      </c>
      <c r="C164" s="68" t="s">
        <v>952</v>
      </c>
    </row>
    <row r="165" spans="1:3">
      <c r="A165" s="68">
        <v>165</v>
      </c>
      <c r="B165" s="68">
        <v>40</v>
      </c>
      <c r="C165" s="68" t="s">
        <v>950</v>
      </c>
    </row>
    <row r="166" spans="1:3">
      <c r="A166" s="68">
        <v>166</v>
      </c>
      <c r="B166" s="68">
        <v>25</v>
      </c>
      <c r="C166" s="68" t="s">
        <v>951</v>
      </c>
    </row>
    <row r="167" spans="1:3">
      <c r="A167" s="68">
        <v>167</v>
      </c>
      <c r="B167" s="68">
        <v>27</v>
      </c>
      <c r="C167" s="68" t="s">
        <v>950</v>
      </c>
    </row>
    <row r="168" spans="1:3">
      <c r="A168" s="68">
        <v>168</v>
      </c>
      <c r="B168" s="68">
        <v>12</v>
      </c>
      <c r="C168" s="68" t="s">
        <v>951</v>
      </c>
    </row>
    <row r="169" spans="1:3">
      <c r="A169" s="68">
        <v>169</v>
      </c>
      <c r="B169" s="68">
        <v>31</v>
      </c>
      <c r="C169" s="68" t="s">
        <v>950</v>
      </c>
    </row>
    <row r="170" spans="1:3">
      <c r="A170" s="68">
        <v>170</v>
      </c>
      <c r="B170" s="68">
        <v>4</v>
      </c>
      <c r="C170" s="68" t="s">
        <v>952</v>
      </c>
    </row>
    <row r="171" spans="1:3">
      <c r="A171" s="68">
        <v>171</v>
      </c>
      <c r="B171" s="68">
        <v>5</v>
      </c>
      <c r="C171" s="68" t="s">
        <v>952</v>
      </c>
    </row>
    <row r="172" spans="1:3">
      <c r="A172" s="68">
        <v>172</v>
      </c>
      <c r="B172" s="68">
        <v>34</v>
      </c>
      <c r="C172" s="68" t="s">
        <v>950</v>
      </c>
    </row>
    <row r="173" spans="1:3">
      <c r="A173" s="68">
        <v>173</v>
      </c>
      <c r="B173" s="68">
        <v>34</v>
      </c>
      <c r="C173" s="68" t="s">
        <v>950</v>
      </c>
    </row>
    <row r="174" spans="1:3">
      <c r="A174" s="68">
        <v>174</v>
      </c>
      <c r="B174" s="68">
        <v>31</v>
      </c>
      <c r="C174" s="68" t="s">
        <v>950</v>
      </c>
    </row>
    <row r="175" spans="1:3">
      <c r="A175" s="68">
        <v>175</v>
      </c>
      <c r="B175" s="68">
        <v>28</v>
      </c>
      <c r="C175" s="68" t="s">
        <v>950</v>
      </c>
    </row>
    <row r="176" spans="1:3">
      <c r="A176" s="68">
        <v>176</v>
      </c>
      <c r="B176" s="68">
        <v>10</v>
      </c>
      <c r="C176" s="68" t="s">
        <v>952</v>
      </c>
    </row>
    <row r="177" spans="1:3">
      <c r="A177" s="68">
        <v>177</v>
      </c>
      <c r="B177" s="68">
        <v>38</v>
      </c>
      <c r="C177" s="68" t="s">
        <v>950</v>
      </c>
    </row>
    <row r="178" spans="1:3">
      <c r="A178" s="68">
        <v>178</v>
      </c>
      <c r="B178" s="68">
        <v>37</v>
      </c>
      <c r="C178" s="68" t="s">
        <v>950</v>
      </c>
    </row>
    <row r="179" spans="1:3">
      <c r="A179" s="68">
        <v>179</v>
      </c>
      <c r="B179" s="68">
        <v>29</v>
      </c>
      <c r="C179" s="68" t="s">
        <v>950</v>
      </c>
    </row>
    <row r="180" spans="1:3">
      <c r="A180" s="68">
        <v>180</v>
      </c>
      <c r="B180" s="68">
        <v>22</v>
      </c>
      <c r="C180" s="68" t="s">
        <v>951</v>
      </c>
    </row>
    <row r="181" spans="1:3">
      <c r="A181" s="68">
        <v>181</v>
      </c>
      <c r="B181" s="68">
        <v>3</v>
      </c>
      <c r="C181" s="68" t="s">
        <v>952</v>
      </c>
    </row>
    <row r="182" spans="1:3">
      <c r="A182" s="68">
        <v>182</v>
      </c>
      <c r="B182" s="68">
        <v>34</v>
      </c>
      <c r="C182" s="68" t="s">
        <v>950</v>
      </c>
    </row>
    <row r="183" spans="1:3">
      <c r="A183" s="68">
        <v>183</v>
      </c>
      <c r="B183" s="68">
        <v>16</v>
      </c>
      <c r="C183" s="68" t="s">
        <v>951</v>
      </c>
    </row>
    <row r="184" spans="1:3">
      <c r="A184" s="68">
        <v>184</v>
      </c>
      <c r="B184" s="68">
        <v>13</v>
      </c>
      <c r="C184" s="68" t="s">
        <v>951</v>
      </c>
    </row>
    <row r="185" spans="1:3">
      <c r="A185" s="68">
        <v>185</v>
      </c>
      <c r="B185" s="68">
        <v>40</v>
      </c>
      <c r="C185" s="68" t="s">
        <v>950</v>
      </c>
    </row>
    <row r="186" spans="1:3">
      <c r="A186" s="68">
        <v>186</v>
      </c>
      <c r="B186" s="68">
        <v>4</v>
      </c>
      <c r="C186" s="68" t="s">
        <v>952</v>
      </c>
    </row>
    <row r="187" spans="1:3">
      <c r="A187" s="68">
        <v>187</v>
      </c>
      <c r="B187" s="68">
        <v>9</v>
      </c>
      <c r="C187" s="68" t="s">
        <v>952</v>
      </c>
    </row>
    <row r="188" spans="1:3">
      <c r="A188" s="68">
        <v>188</v>
      </c>
      <c r="B188" s="68">
        <v>37</v>
      </c>
      <c r="C188" s="68" t="s">
        <v>950</v>
      </c>
    </row>
    <row r="189" spans="1:3">
      <c r="A189" s="68">
        <v>189</v>
      </c>
      <c r="B189" s="68">
        <v>29</v>
      </c>
      <c r="C189" s="68" t="s">
        <v>950</v>
      </c>
    </row>
    <row r="190" spans="1:3">
      <c r="A190" s="68">
        <v>190</v>
      </c>
      <c r="B190" s="68">
        <v>26</v>
      </c>
      <c r="C190" s="68" t="s">
        <v>950</v>
      </c>
    </row>
    <row r="191" spans="1:3">
      <c r="A191" s="68">
        <v>191</v>
      </c>
      <c r="B191" s="68">
        <v>24</v>
      </c>
      <c r="C191" s="68" t="s">
        <v>951</v>
      </c>
    </row>
    <row r="192" spans="1:3">
      <c r="A192" s="68">
        <v>192</v>
      </c>
      <c r="B192" s="68">
        <v>40</v>
      </c>
      <c r="C192" s="68" t="s">
        <v>950</v>
      </c>
    </row>
    <row r="193" spans="1:3">
      <c r="A193" s="68">
        <v>193</v>
      </c>
      <c r="B193" s="68">
        <v>30</v>
      </c>
      <c r="C193" s="68" t="s">
        <v>950</v>
      </c>
    </row>
    <row r="194" spans="1:3">
      <c r="A194" s="68">
        <v>194</v>
      </c>
      <c r="B194" s="68">
        <v>23</v>
      </c>
      <c r="C194" s="68" t="s">
        <v>951</v>
      </c>
    </row>
    <row r="195" spans="1:3">
      <c r="A195" s="68">
        <v>195</v>
      </c>
      <c r="B195" s="68">
        <v>11</v>
      </c>
      <c r="C195" s="68" t="s">
        <v>951</v>
      </c>
    </row>
    <row r="196" spans="1:3">
      <c r="A196" s="68">
        <v>196</v>
      </c>
      <c r="B196" s="68">
        <v>9</v>
      </c>
      <c r="C196" s="68" t="s">
        <v>952</v>
      </c>
    </row>
    <row r="197" spans="1:3">
      <c r="A197" s="68">
        <v>197</v>
      </c>
      <c r="B197" s="68">
        <v>36</v>
      </c>
      <c r="C197" s="68" t="s">
        <v>950</v>
      </c>
    </row>
    <row r="198" spans="1:3">
      <c r="A198" s="68">
        <v>198</v>
      </c>
      <c r="B198" s="68">
        <v>42</v>
      </c>
      <c r="C198" s="68" t="s">
        <v>950</v>
      </c>
    </row>
    <row r="199" spans="1:3">
      <c r="A199" s="68">
        <v>199</v>
      </c>
      <c r="B199" s="68">
        <v>13</v>
      </c>
      <c r="C199" s="68" t="s">
        <v>951</v>
      </c>
    </row>
    <row r="200" spans="1:3">
      <c r="A200" s="68">
        <v>200</v>
      </c>
      <c r="B200" s="68">
        <v>37</v>
      </c>
      <c r="C200" s="68" t="s">
        <v>950</v>
      </c>
    </row>
    <row r="201" spans="1:3">
      <c r="A201" s="68">
        <v>201</v>
      </c>
      <c r="B201" s="68">
        <v>24</v>
      </c>
      <c r="C201" s="68" t="s">
        <v>951</v>
      </c>
    </row>
    <row r="202" spans="1:3">
      <c r="A202" s="68">
        <v>202</v>
      </c>
      <c r="B202" s="68">
        <v>26</v>
      </c>
      <c r="C202" s="68" t="s">
        <v>950</v>
      </c>
    </row>
    <row r="203" spans="1:3">
      <c r="A203" s="68">
        <v>203</v>
      </c>
      <c r="B203" s="68">
        <v>1</v>
      </c>
      <c r="C203" s="68" t="s">
        <v>952</v>
      </c>
    </row>
    <row r="204" spans="1:3">
      <c r="A204" s="68">
        <v>204</v>
      </c>
      <c r="B204" s="68">
        <v>28</v>
      </c>
      <c r="C204" s="68" t="s">
        <v>950</v>
      </c>
    </row>
    <row r="205" spans="1:3">
      <c r="A205" s="68">
        <v>205</v>
      </c>
      <c r="B205" s="68">
        <v>13</v>
      </c>
      <c r="C205" s="68" t="s">
        <v>951</v>
      </c>
    </row>
    <row r="206" spans="1:3">
      <c r="A206" s="68">
        <v>206</v>
      </c>
      <c r="B206" s="68">
        <v>0</v>
      </c>
      <c r="C206" s="68" t="s">
        <v>952</v>
      </c>
    </row>
    <row r="207" spans="1:3">
      <c r="A207" s="68">
        <v>207</v>
      </c>
      <c r="B207" s="68">
        <v>45</v>
      </c>
      <c r="C207" s="68" t="s">
        <v>950</v>
      </c>
    </row>
    <row r="208" spans="1:3">
      <c r="A208" s="68">
        <v>208</v>
      </c>
      <c r="B208" s="68">
        <v>44</v>
      </c>
      <c r="C208" s="68" t="s">
        <v>950</v>
      </c>
    </row>
    <row r="209" spans="1:3">
      <c r="A209" s="68">
        <v>209</v>
      </c>
      <c r="B209" s="68">
        <v>7</v>
      </c>
      <c r="C209" s="68" t="s">
        <v>952</v>
      </c>
    </row>
    <row r="210" spans="1:3">
      <c r="A210" s="68">
        <v>210</v>
      </c>
      <c r="B210" s="68">
        <v>20</v>
      </c>
      <c r="C210" s="68" t="s">
        <v>951</v>
      </c>
    </row>
    <row r="211" spans="1:3">
      <c r="A211" s="68">
        <v>211</v>
      </c>
      <c r="B211" s="68">
        <v>28</v>
      </c>
      <c r="C211" s="68" t="s">
        <v>950</v>
      </c>
    </row>
    <row r="212" spans="1:3">
      <c r="A212" s="68">
        <v>212</v>
      </c>
      <c r="B212" s="68">
        <v>44</v>
      </c>
      <c r="C212" s="68" t="s">
        <v>950</v>
      </c>
    </row>
    <row r="213" spans="1:3">
      <c r="A213" s="68">
        <v>213</v>
      </c>
      <c r="B213" s="68">
        <v>18</v>
      </c>
      <c r="C213" s="68" t="s">
        <v>951</v>
      </c>
    </row>
    <row r="214" spans="1:3">
      <c r="A214" s="68">
        <v>214</v>
      </c>
      <c r="B214" s="68">
        <v>40</v>
      </c>
      <c r="C214" s="68" t="s">
        <v>950</v>
      </c>
    </row>
    <row r="215" spans="1:3">
      <c r="A215" s="68">
        <v>215</v>
      </c>
      <c r="B215" s="68">
        <v>33</v>
      </c>
      <c r="C215" s="68" t="s">
        <v>950</v>
      </c>
    </row>
    <row r="216" spans="1:3">
      <c r="A216" s="68">
        <v>216</v>
      </c>
      <c r="B216" s="68">
        <v>32</v>
      </c>
      <c r="C216" s="68" t="s">
        <v>950</v>
      </c>
    </row>
    <row r="217" spans="1:3">
      <c r="A217" s="68">
        <v>217</v>
      </c>
      <c r="B217" s="68">
        <v>42</v>
      </c>
      <c r="C217" s="68" t="s">
        <v>950</v>
      </c>
    </row>
    <row r="218" spans="1:3">
      <c r="A218" s="68">
        <v>218</v>
      </c>
      <c r="B218" s="68">
        <v>16</v>
      </c>
      <c r="C218" s="68" t="s">
        <v>951</v>
      </c>
    </row>
    <row r="219" spans="1:3">
      <c r="A219" s="68">
        <v>219</v>
      </c>
      <c r="B219" s="68">
        <v>34</v>
      </c>
      <c r="C219" s="68" t="s">
        <v>950</v>
      </c>
    </row>
    <row r="220" spans="1:3">
      <c r="A220" s="68">
        <v>220</v>
      </c>
      <c r="B220" s="68">
        <v>35</v>
      </c>
      <c r="C220" s="68" t="s">
        <v>950</v>
      </c>
    </row>
    <row r="221" spans="1:3">
      <c r="A221" s="68">
        <v>221</v>
      </c>
      <c r="B221" s="68">
        <v>26</v>
      </c>
      <c r="C221" s="68" t="s">
        <v>950</v>
      </c>
    </row>
    <row r="222" spans="1:3">
      <c r="A222" s="68">
        <v>222</v>
      </c>
      <c r="B222" s="68">
        <v>30</v>
      </c>
      <c r="C222" s="68" t="s">
        <v>950</v>
      </c>
    </row>
    <row r="223" spans="1:3">
      <c r="A223" s="68">
        <v>223</v>
      </c>
      <c r="B223" s="68">
        <v>24</v>
      </c>
      <c r="C223" s="68" t="s">
        <v>951</v>
      </c>
    </row>
    <row r="224" spans="1:3">
      <c r="A224" s="68">
        <v>224</v>
      </c>
      <c r="B224" s="68">
        <v>41</v>
      </c>
      <c r="C224" s="68" t="s">
        <v>950</v>
      </c>
    </row>
    <row r="225" spans="1:3">
      <c r="A225" s="68">
        <v>225</v>
      </c>
      <c r="B225" s="68">
        <v>44</v>
      </c>
      <c r="C225" s="68" t="s">
        <v>950</v>
      </c>
    </row>
    <row r="226" spans="1:3">
      <c r="A226" s="68">
        <v>226</v>
      </c>
      <c r="B226" s="68">
        <v>2</v>
      </c>
      <c r="C226" s="68" t="s">
        <v>952</v>
      </c>
    </row>
    <row r="227" spans="1:3">
      <c r="A227" s="68">
        <v>227</v>
      </c>
      <c r="B227" s="68">
        <v>6</v>
      </c>
      <c r="C227" s="68" t="s">
        <v>952</v>
      </c>
    </row>
    <row r="228" spans="1:3">
      <c r="A228" s="68">
        <v>228</v>
      </c>
      <c r="B228" s="68">
        <v>42</v>
      </c>
      <c r="C228" s="68" t="s">
        <v>950</v>
      </c>
    </row>
    <row r="229" spans="1:3">
      <c r="A229" s="68">
        <v>229</v>
      </c>
      <c r="B229" s="68">
        <v>1</v>
      </c>
      <c r="C229" s="68" t="s">
        <v>952</v>
      </c>
    </row>
    <row r="230" spans="1:3">
      <c r="A230" s="68">
        <v>230</v>
      </c>
      <c r="B230" s="68">
        <v>37</v>
      </c>
      <c r="C230" s="68" t="s">
        <v>950</v>
      </c>
    </row>
    <row r="231" spans="1:3">
      <c r="A231" s="68">
        <v>231</v>
      </c>
      <c r="B231" s="68">
        <v>4</v>
      </c>
      <c r="C231" s="68" t="s">
        <v>952</v>
      </c>
    </row>
    <row r="232" spans="1:3">
      <c r="A232" s="68">
        <v>232</v>
      </c>
      <c r="B232" s="68">
        <v>35</v>
      </c>
      <c r="C232" s="68" t="s">
        <v>950</v>
      </c>
    </row>
    <row r="233" spans="1:3">
      <c r="A233" s="68">
        <v>233</v>
      </c>
      <c r="B233" s="68">
        <v>23</v>
      </c>
      <c r="C233" s="68" t="s">
        <v>951</v>
      </c>
    </row>
    <row r="234" spans="1:3">
      <c r="A234" s="68">
        <v>234</v>
      </c>
      <c r="B234" s="68">
        <v>9</v>
      </c>
      <c r="C234" s="68" t="s">
        <v>952</v>
      </c>
    </row>
    <row r="235" spans="1:3">
      <c r="A235" s="68">
        <v>235</v>
      </c>
      <c r="B235" s="68">
        <v>20</v>
      </c>
      <c r="C235" s="68" t="s">
        <v>951</v>
      </c>
    </row>
    <row r="236" spans="1:3">
      <c r="A236" s="68">
        <v>236</v>
      </c>
      <c r="B236" s="68">
        <v>27</v>
      </c>
      <c r="C236" s="68" t="s">
        <v>950</v>
      </c>
    </row>
    <row r="237" spans="1:3">
      <c r="A237" s="68">
        <v>237</v>
      </c>
      <c r="B237" s="68"/>
      <c r="C237" s="68"/>
    </row>
    <row r="238" spans="1:3">
      <c r="A238" s="68">
        <v>238</v>
      </c>
      <c r="B238" s="68">
        <v>21</v>
      </c>
      <c r="C238" s="68" t="s">
        <v>951</v>
      </c>
    </row>
    <row r="239" spans="1:3">
      <c r="A239" s="68">
        <v>239</v>
      </c>
      <c r="B239" s="68">
        <v>29</v>
      </c>
      <c r="C239" s="68" t="s">
        <v>950</v>
      </c>
    </row>
    <row r="240" spans="1:3">
      <c r="A240" s="68">
        <v>240</v>
      </c>
      <c r="B240" s="68">
        <v>6</v>
      </c>
      <c r="C240" s="68" t="s">
        <v>952</v>
      </c>
    </row>
    <row r="241" spans="1:3">
      <c r="A241" s="68">
        <v>241</v>
      </c>
      <c r="B241" s="68">
        <v>29</v>
      </c>
      <c r="C241" s="68" t="s">
        <v>950</v>
      </c>
    </row>
    <row r="242" spans="1:3">
      <c r="A242" s="68">
        <v>242</v>
      </c>
      <c r="B242" s="68">
        <v>41</v>
      </c>
      <c r="C242" s="68" t="s">
        <v>950</v>
      </c>
    </row>
    <row r="243" spans="1:3">
      <c r="A243" s="68">
        <v>243</v>
      </c>
      <c r="B243" s="68">
        <v>18</v>
      </c>
      <c r="C243" s="68" t="s">
        <v>951</v>
      </c>
    </row>
    <row r="244" spans="1:3">
      <c r="A244" s="68">
        <v>244</v>
      </c>
      <c r="B244" s="68">
        <v>31</v>
      </c>
      <c r="C244" s="68" t="s">
        <v>950</v>
      </c>
    </row>
    <row r="245" spans="1:3">
      <c r="A245" s="68">
        <v>245</v>
      </c>
      <c r="B245" s="68">
        <v>44</v>
      </c>
      <c r="C245" s="68" t="s">
        <v>950</v>
      </c>
    </row>
    <row r="246" spans="1:3">
      <c r="A246" s="68">
        <v>246</v>
      </c>
      <c r="B246" s="68">
        <v>35</v>
      </c>
      <c r="C246" s="68" t="s">
        <v>950</v>
      </c>
    </row>
    <row r="247" spans="1:3">
      <c r="A247" s="68">
        <v>247</v>
      </c>
      <c r="B247" s="68">
        <v>25</v>
      </c>
      <c r="C247" s="68" t="s">
        <v>951</v>
      </c>
    </row>
    <row r="248" spans="1:3">
      <c r="A248" s="68">
        <v>248</v>
      </c>
      <c r="B248" s="68">
        <v>30</v>
      </c>
      <c r="C248" s="68" t="s">
        <v>950</v>
      </c>
    </row>
    <row r="249" spans="1:3">
      <c r="A249" s="68">
        <v>249</v>
      </c>
      <c r="B249" s="68">
        <v>37</v>
      </c>
      <c r="C249" s="68" t="s">
        <v>950</v>
      </c>
    </row>
    <row r="250" spans="1:3">
      <c r="A250" s="68">
        <v>250</v>
      </c>
      <c r="B250" s="68">
        <v>21</v>
      </c>
      <c r="C250" s="68" t="s">
        <v>951</v>
      </c>
    </row>
    <row r="251" spans="1:3">
      <c r="A251" s="68">
        <v>251</v>
      </c>
      <c r="B251" s="68">
        <v>29</v>
      </c>
      <c r="C251" s="68" t="s">
        <v>950</v>
      </c>
    </row>
    <row r="252" spans="1:3">
      <c r="A252" s="68">
        <v>252</v>
      </c>
      <c r="B252" s="68">
        <v>12</v>
      </c>
      <c r="C252" s="68" t="s">
        <v>951</v>
      </c>
    </row>
    <row r="253" spans="1:3">
      <c r="A253" s="68">
        <v>253</v>
      </c>
      <c r="B253" s="68">
        <v>9</v>
      </c>
      <c r="C253" s="68" t="s">
        <v>952</v>
      </c>
    </row>
    <row r="254" spans="1:3">
      <c r="A254" s="68">
        <v>254</v>
      </c>
      <c r="B254" s="68">
        <v>0</v>
      </c>
      <c r="C254" s="68" t="s">
        <v>952</v>
      </c>
    </row>
    <row r="255" spans="1:3">
      <c r="A255" s="68">
        <v>255</v>
      </c>
      <c r="B255" s="68">
        <v>19</v>
      </c>
      <c r="C255" s="68" t="s">
        <v>951</v>
      </c>
    </row>
    <row r="256" spans="1:3">
      <c r="A256" s="68">
        <v>256</v>
      </c>
      <c r="B256" s="68">
        <v>15</v>
      </c>
      <c r="C256" s="68" t="s">
        <v>951</v>
      </c>
    </row>
    <row r="257" spans="1:3">
      <c r="A257" s="68">
        <v>257</v>
      </c>
      <c r="B257" s="68">
        <v>29</v>
      </c>
      <c r="C257" s="68" t="s">
        <v>950</v>
      </c>
    </row>
    <row r="258" spans="1:3">
      <c r="A258" s="68">
        <v>258</v>
      </c>
      <c r="B258" s="68">
        <v>33</v>
      </c>
      <c r="C258" s="68" t="s">
        <v>950</v>
      </c>
    </row>
    <row r="259" spans="1:3">
      <c r="A259" s="68">
        <v>259</v>
      </c>
      <c r="B259" s="68">
        <v>2</v>
      </c>
      <c r="C259" s="68" t="s">
        <v>952</v>
      </c>
    </row>
    <row r="260" spans="1:3">
      <c r="A260" s="68">
        <v>260</v>
      </c>
      <c r="B260" s="68">
        <v>29</v>
      </c>
      <c r="C260" s="68" t="s">
        <v>950</v>
      </c>
    </row>
    <row r="261" spans="1:3">
      <c r="A261" s="68">
        <v>261</v>
      </c>
      <c r="B261" s="68">
        <v>27</v>
      </c>
      <c r="C261" s="68" t="s">
        <v>950</v>
      </c>
    </row>
    <row r="262" spans="1:3">
      <c r="A262" s="68">
        <v>262</v>
      </c>
      <c r="B262" s="68">
        <v>4</v>
      </c>
      <c r="C262" s="68" t="s">
        <v>952</v>
      </c>
    </row>
    <row r="263" spans="1:3">
      <c r="A263" s="68">
        <v>263</v>
      </c>
      <c r="B263" s="68">
        <v>2</v>
      </c>
      <c r="C263" s="68" t="s">
        <v>952</v>
      </c>
    </row>
    <row r="264" spans="1:3">
      <c r="A264" s="68">
        <v>264</v>
      </c>
      <c r="B264" s="68">
        <v>13</v>
      </c>
      <c r="C264" s="68" t="s">
        <v>951</v>
      </c>
    </row>
    <row r="265" spans="1:3">
      <c r="A265" s="68">
        <v>265</v>
      </c>
      <c r="B265" s="68">
        <v>29</v>
      </c>
      <c r="C265" s="68" t="s">
        <v>950</v>
      </c>
    </row>
    <row r="266" spans="1:3">
      <c r="A266" s="68">
        <v>266</v>
      </c>
      <c r="B266" s="68">
        <v>16</v>
      </c>
      <c r="C266" s="68" t="s">
        <v>951</v>
      </c>
    </row>
    <row r="267" spans="1:3">
      <c r="A267" s="68">
        <v>267</v>
      </c>
      <c r="B267" s="68">
        <v>26</v>
      </c>
      <c r="C267" s="68" t="s">
        <v>950</v>
      </c>
    </row>
    <row r="268" spans="1:3">
      <c r="A268" s="68">
        <v>268</v>
      </c>
      <c r="B268" s="68">
        <v>8</v>
      </c>
      <c r="C268" s="68" t="s">
        <v>952</v>
      </c>
    </row>
    <row r="269" spans="1:3">
      <c r="A269" s="68">
        <v>269</v>
      </c>
      <c r="B269" s="68">
        <v>27</v>
      </c>
      <c r="C269" s="68" t="s">
        <v>950</v>
      </c>
    </row>
    <row r="270" spans="1:3">
      <c r="A270" s="68">
        <v>270</v>
      </c>
      <c r="B270" s="68">
        <v>38</v>
      </c>
      <c r="C270" s="68" t="s">
        <v>950</v>
      </c>
    </row>
    <row r="271" spans="1:3">
      <c r="A271" s="68">
        <v>271</v>
      </c>
      <c r="B271" s="68">
        <v>0</v>
      </c>
      <c r="C271" s="68" t="s">
        <v>952</v>
      </c>
    </row>
    <row r="272" spans="1:3">
      <c r="A272" s="68">
        <v>272</v>
      </c>
      <c r="B272" s="68">
        <v>10</v>
      </c>
      <c r="C272" s="68" t="s">
        <v>952</v>
      </c>
    </row>
    <row r="273" spans="1:3">
      <c r="A273" s="68">
        <v>273</v>
      </c>
      <c r="B273" s="68">
        <v>5</v>
      </c>
      <c r="C273" s="68" t="s">
        <v>952</v>
      </c>
    </row>
    <row r="274" spans="1:3">
      <c r="A274" s="68">
        <v>274</v>
      </c>
      <c r="B274" s="68">
        <v>13</v>
      </c>
      <c r="C274" s="68" t="s">
        <v>951</v>
      </c>
    </row>
    <row r="275" spans="1:3">
      <c r="A275" s="68">
        <v>275</v>
      </c>
      <c r="B275" s="68">
        <v>32</v>
      </c>
      <c r="C275" s="68" t="s">
        <v>950</v>
      </c>
    </row>
    <row r="276" spans="1:3">
      <c r="A276" s="68">
        <v>276</v>
      </c>
      <c r="B276" s="68">
        <v>32</v>
      </c>
      <c r="C276" s="68" t="s">
        <v>950</v>
      </c>
    </row>
    <row r="277" spans="1:3">
      <c r="A277" s="68">
        <v>277</v>
      </c>
      <c r="B277" s="68">
        <v>16</v>
      </c>
      <c r="C277" s="68" t="s">
        <v>951</v>
      </c>
    </row>
    <row r="278" spans="1:3">
      <c r="A278" s="68">
        <v>278</v>
      </c>
      <c r="B278" s="68">
        <v>19</v>
      </c>
      <c r="C278" s="68" t="s">
        <v>951</v>
      </c>
    </row>
    <row r="279" spans="1:3">
      <c r="A279" s="68">
        <v>279</v>
      </c>
      <c r="B279" s="68">
        <v>32</v>
      </c>
      <c r="C279" s="68" t="s">
        <v>950</v>
      </c>
    </row>
    <row r="280" spans="1:3">
      <c r="A280" s="68">
        <v>280</v>
      </c>
      <c r="B280" s="68">
        <v>33</v>
      </c>
      <c r="C280" s="68" t="s">
        <v>950</v>
      </c>
    </row>
    <row r="281" spans="1:3">
      <c r="A281" s="68">
        <v>281</v>
      </c>
      <c r="B281" s="68">
        <v>24</v>
      </c>
      <c r="C281" s="68" t="s">
        <v>951</v>
      </c>
    </row>
    <row r="282" spans="1:3">
      <c r="A282" s="68">
        <v>282</v>
      </c>
      <c r="B282" s="68">
        <v>35</v>
      </c>
      <c r="C282" s="68" t="s">
        <v>950</v>
      </c>
    </row>
    <row r="283" spans="1:3">
      <c r="A283" s="68">
        <v>283</v>
      </c>
      <c r="B283" s="68">
        <v>25</v>
      </c>
      <c r="C283" s="68" t="s">
        <v>951</v>
      </c>
    </row>
    <row r="284" spans="1:3">
      <c r="A284" s="68">
        <v>284</v>
      </c>
      <c r="B284" s="68">
        <v>14</v>
      </c>
      <c r="C284" s="68" t="s">
        <v>951</v>
      </c>
    </row>
    <row r="285" spans="1:3">
      <c r="A285" s="68">
        <v>285</v>
      </c>
      <c r="B285" s="68">
        <v>18</v>
      </c>
      <c r="C285" s="68" t="s">
        <v>951</v>
      </c>
    </row>
    <row r="286" spans="1:3">
      <c r="A286" s="68">
        <v>286</v>
      </c>
      <c r="B286" s="68">
        <v>40</v>
      </c>
      <c r="C286" s="68" t="s">
        <v>950</v>
      </c>
    </row>
    <row r="287" spans="1:3">
      <c r="A287" s="68">
        <v>287</v>
      </c>
      <c r="B287" s="68">
        <v>41</v>
      </c>
      <c r="C287" s="68" t="s">
        <v>950</v>
      </c>
    </row>
    <row r="288" spans="1:3">
      <c r="A288" s="68">
        <v>288</v>
      </c>
      <c r="B288" s="68">
        <v>38</v>
      </c>
      <c r="C288" s="68" t="s">
        <v>950</v>
      </c>
    </row>
    <row r="289" spans="1:3">
      <c r="A289" s="68">
        <v>289</v>
      </c>
      <c r="B289" s="68">
        <v>10</v>
      </c>
      <c r="C289" s="68" t="s">
        <v>952</v>
      </c>
    </row>
    <row r="290" spans="1:3">
      <c r="A290" s="68">
        <v>290</v>
      </c>
      <c r="B290" s="68">
        <v>30</v>
      </c>
      <c r="C290" s="68" t="s">
        <v>950</v>
      </c>
    </row>
    <row r="291" spans="1:3">
      <c r="A291" s="68">
        <v>291</v>
      </c>
      <c r="B291" s="68">
        <v>8</v>
      </c>
      <c r="C291" s="68" t="s">
        <v>952</v>
      </c>
    </row>
    <row r="292" spans="1:3">
      <c r="A292" s="68">
        <v>292</v>
      </c>
      <c r="B292" s="68">
        <v>28</v>
      </c>
      <c r="C292" s="68" t="s">
        <v>950</v>
      </c>
    </row>
    <row r="293" spans="1:3">
      <c r="A293" s="68">
        <v>293</v>
      </c>
      <c r="B293" s="68">
        <v>12</v>
      </c>
      <c r="C293" s="68" t="s">
        <v>951</v>
      </c>
    </row>
    <row r="294" spans="1:3">
      <c r="A294" s="68">
        <v>294</v>
      </c>
      <c r="B294" s="68">
        <v>45</v>
      </c>
      <c r="C294" s="68" t="s">
        <v>950</v>
      </c>
    </row>
    <row r="295" spans="1:3">
      <c r="A295" s="68">
        <v>295</v>
      </c>
      <c r="B295" s="68">
        <v>6</v>
      </c>
      <c r="C295" s="68" t="s">
        <v>952</v>
      </c>
    </row>
    <row r="296" spans="1:3">
      <c r="A296" s="68">
        <v>296</v>
      </c>
      <c r="B296" s="68">
        <v>20</v>
      </c>
      <c r="C296" s="68" t="s">
        <v>951</v>
      </c>
    </row>
    <row r="297" spans="1:3">
      <c r="A297" s="68">
        <v>297</v>
      </c>
      <c r="B297" s="68">
        <v>29</v>
      </c>
      <c r="C297" s="68" t="s">
        <v>950</v>
      </c>
    </row>
    <row r="298" spans="1:3">
      <c r="A298" s="68">
        <v>298</v>
      </c>
      <c r="B298" s="68">
        <v>26</v>
      </c>
      <c r="C298" s="68" t="s">
        <v>950</v>
      </c>
    </row>
    <row r="299" spans="1:3">
      <c r="A299" s="68">
        <v>299</v>
      </c>
      <c r="B299" s="68">
        <v>19</v>
      </c>
      <c r="C299" s="68" t="s">
        <v>951</v>
      </c>
    </row>
    <row r="300" spans="1:3">
      <c r="A300" s="68">
        <v>300</v>
      </c>
      <c r="B300" s="68">
        <v>36</v>
      </c>
      <c r="C300" s="68" t="s">
        <v>950</v>
      </c>
    </row>
    <row r="301" spans="1:3">
      <c r="A301" s="68">
        <v>301</v>
      </c>
      <c r="B301" s="68">
        <v>26</v>
      </c>
      <c r="C301" s="68" t="s">
        <v>950</v>
      </c>
    </row>
    <row r="302" spans="1:3">
      <c r="A302" s="68">
        <v>302</v>
      </c>
      <c r="B302" s="68">
        <v>28</v>
      </c>
      <c r="C302" s="68" t="s">
        <v>950</v>
      </c>
    </row>
    <row r="303" spans="1:3">
      <c r="A303" s="68">
        <v>303</v>
      </c>
      <c r="B303" s="68">
        <v>1</v>
      </c>
      <c r="C303" s="68" t="s">
        <v>952</v>
      </c>
    </row>
    <row r="304" spans="1:3">
      <c r="A304" s="68">
        <v>304</v>
      </c>
      <c r="B304" s="68">
        <v>3</v>
      </c>
      <c r="C304" s="68" t="s">
        <v>952</v>
      </c>
    </row>
    <row r="305" spans="1:3">
      <c r="A305" s="68">
        <v>305</v>
      </c>
      <c r="B305" s="68">
        <v>21</v>
      </c>
      <c r="C305" s="68" t="s">
        <v>951</v>
      </c>
    </row>
    <row r="306" spans="1:3">
      <c r="A306" s="68">
        <v>306</v>
      </c>
      <c r="B306" s="68">
        <v>26</v>
      </c>
      <c r="C306" s="68" t="s">
        <v>950</v>
      </c>
    </row>
    <row r="307" spans="1:3">
      <c r="A307" s="68">
        <v>307</v>
      </c>
      <c r="B307" s="68">
        <v>30</v>
      </c>
      <c r="C307" s="68" t="s">
        <v>950</v>
      </c>
    </row>
    <row r="308" spans="1:3">
      <c r="A308" s="68">
        <v>308</v>
      </c>
      <c r="B308" s="68">
        <v>34</v>
      </c>
      <c r="C308" s="68" t="s">
        <v>950</v>
      </c>
    </row>
    <row r="309" spans="1:3">
      <c r="A309" s="68">
        <v>309</v>
      </c>
      <c r="B309" s="68">
        <v>15</v>
      </c>
      <c r="C309" s="68" t="s">
        <v>951</v>
      </c>
    </row>
    <row r="310" spans="1:3">
      <c r="A310" s="68">
        <v>310</v>
      </c>
      <c r="B310" s="68">
        <v>13</v>
      </c>
      <c r="C310" s="68" t="s">
        <v>951</v>
      </c>
    </row>
    <row r="311" spans="1:3">
      <c r="A311" s="68">
        <v>311</v>
      </c>
      <c r="B311" s="68">
        <v>38</v>
      </c>
      <c r="C311" s="68" t="s">
        <v>950</v>
      </c>
    </row>
    <row r="312" spans="1:3">
      <c r="A312" s="68">
        <v>312</v>
      </c>
      <c r="B312" s="68">
        <v>38</v>
      </c>
      <c r="C312" s="68" t="s">
        <v>950</v>
      </c>
    </row>
    <row r="313" spans="1:3">
      <c r="A313" s="68">
        <v>313</v>
      </c>
      <c r="B313" s="68">
        <v>16</v>
      </c>
      <c r="C313" s="68" t="s">
        <v>951</v>
      </c>
    </row>
    <row r="314" spans="1:3">
      <c r="A314" s="68">
        <v>314</v>
      </c>
      <c r="B314" s="68">
        <v>11</v>
      </c>
      <c r="C314" s="68" t="s">
        <v>951</v>
      </c>
    </row>
    <row r="315" spans="1:3">
      <c r="A315" s="68">
        <v>315</v>
      </c>
      <c r="B315" s="68">
        <v>15</v>
      </c>
      <c r="C315" s="68" t="s">
        <v>951</v>
      </c>
    </row>
    <row r="316" spans="1:3">
      <c r="A316" s="68">
        <v>316</v>
      </c>
      <c r="B316" s="68">
        <v>26</v>
      </c>
      <c r="C316" s="68" t="s">
        <v>950</v>
      </c>
    </row>
    <row r="317" spans="1:3">
      <c r="A317" s="68">
        <v>317</v>
      </c>
      <c r="B317" s="68">
        <v>12</v>
      </c>
      <c r="C317" s="68" t="s">
        <v>951</v>
      </c>
    </row>
    <row r="318" spans="1:3">
      <c r="A318" s="68">
        <v>318</v>
      </c>
      <c r="B318" s="68">
        <v>7</v>
      </c>
      <c r="C318" s="68" t="s">
        <v>952</v>
      </c>
    </row>
    <row r="319" spans="1:3">
      <c r="A319" s="68">
        <v>319</v>
      </c>
      <c r="B319" s="68">
        <v>34</v>
      </c>
      <c r="C319" s="68" t="s">
        <v>950</v>
      </c>
    </row>
    <row r="320" spans="1:3">
      <c r="A320" s="68">
        <v>320</v>
      </c>
      <c r="B320" s="68">
        <v>21</v>
      </c>
      <c r="C320" s="68" t="s">
        <v>951</v>
      </c>
    </row>
    <row r="321" spans="1:3">
      <c r="A321" s="68">
        <v>321</v>
      </c>
      <c r="B321" s="68">
        <v>35</v>
      </c>
      <c r="C321" s="68" t="s">
        <v>950</v>
      </c>
    </row>
    <row r="322" spans="1:3">
      <c r="A322" s="68">
        <v>322</v>
      </c>
      <c r="B322" s="68">
        <v>20</v>
      </c>
      <c r="C322" s="68" t="s">
        <v>951</v>
      </c>
    </row>
    <row r="323" spans="1:3">
      <c r="A323" s="68">
        <v>323</v>
      </c>
      <c r="B323" s="68">
        <v>6</v>
      </c>
      <c r="C323" s="68" t="s">
        <v>952</v>
      </c>
    </row>
    <row r="324" spans="1:3">
      <c r="A324" s="68">
        <v>324</v>
      </c>
      <c r="B324" s="68">
        <v>22</v>
      </c>
      <c r="C324" s="68" t="s">
        <v>951</v>
      </c>
    </row>
    <row r="325" spans="1:3">
      <c r="A325" s="68">
        <v>325</v>
      </c>
      <c r="B325" s="68">
        <v>19</v>
      </c>
      <c r="C325" s="68" t="s">
        <v>951</v>
      </c>
    </row>
    <row r="326" spans="1:3">
      <c r="A326" s="68">
        <v>326</v>
      </c>
      <c r="B326" s="68">
        <v>7</v>
      </c>
      <c r="C326" s="68" t="s">
        <v>952</v>
      </c>
    </row>
    <row r="327" spans="1:3">
      <c r="A327" s="68">
        <v>327</v>
      </c>
      <c r="B327" s="68">
        <v>4</v>
      </c>
      <c r="C327" s="68" t="s">
        <v>952</v>
      </c>
    </row>
    <row r="328" spans="1:3">
      <c r="A328" s="68">
        <v>328</v>
      </c>
      <c r="B328" s="68">
        <v>12</v>
      </c>
      <c r="C328" s="68" t="s">
        <v>951</v>
      </c>
    </row>
    <row r="329" spans="1:3">
      <c r="A329" s="68">
        <v>329</v>
      </c>
      <c r="B329" s="68">
        <v>9</v>
      </c>
      <c r="C329" s="68" t="s">
        <v>952</v>
      </c>
    </row>
    <row r="330" spans="1:3">
      <c r="A330" s="68">
        <v>330</v>
      </c>
      <c r="B330" s="68">
        <v>6</v>
      </c>
      <c r="C330" s="68" t="s">
        <v>952</v>
      </c>
    </row>
    <row r="331" spans="1:3">
      <c r="A331" s="68">
        <v>331</v>
      </c>
      <c r="B331" s="68">
        <v>0</v>
      </c>
      <c r="C331" s="68" t="s">
        <v>952</v>
      </c>
    </row>
    <row r="332" spans="1:3">
      <c r="A332" s="68">
        <v>332</v>
      </c>
      <c r="B332" s="68">
        <v>13</v>
      </c>
      <c r="C332" s="68" t="s">
        <v>951</v>
      </c>
    </row>
    <row r="333" spans="1:3">
      <c r="A333" s="68">
        <v>333</v>
      </c>
      <c r="B333" s="68">
        <v>14</v>
      </c>
      <c r="C333" s="68" t="s">
        <v>951</v>
      </c>
    </row>
    <row r="334" spans="1:3">
      <c r="A334" s="68">
        <v>334</v>
      </c>
      <c r="B334" s="68">
        <v>4</v>
      </c>
      <c r="C334" s="68" t="s">
        <v>952</v>
      </c>
    </row>
    <row r="335" spans="1:3">
      <c r="A335" s="68">
        <v>335</v>
      </c>
      <c r="B335" s="68">
        <v>28</v>
      </c>
      <c r="C335" s="68" t="s">
        <v>950</v>
      </c>
    </row>
    <row r="336" spans="1:3">
      <c r="A336" s="68">
        <v>336</v>
      </c>
      <c r="B336" s="68">
        <v>24</v>
      </c>
      <c r="C336" s="68" t="s">
        <v>951</v>
      </c>
    </row>
    <row r="337" spans="1:3">
      <c r="A337" s="68">
        <v>337</v>
      </c>
      <c r="B337" s="68">
        <v>27</v>
      </c>
      <c r="C337" s="68" t="s">
        <v>950</v>
      </c>
    </row>
    <row r="338" spans="1:3">
      <c r="A338" s="68">
        <v>338</v>
      </c>
      <c r="B338" s="68">
        <v>30</v>
      </c>
      <c r="C338" s="68" t="s">
        <v>950</v>
      </c>
    </row>
    <row r="339" spans="1:3">
      <c r="A339" s="68">
        <v>339</v>
      </c>
      <c r="B339" s="68">
        <v>9</v>
      </c>
      <c r="C339" s="68" t="s">
        <v>952</v>
      </c>
    </row>
    <row r="340" spans="1:3">
      <c r="A340" s="68">
        <v>340</v>
      </c>
      <c r="B340" s="68">
        <v>4</v>
      </c>
      <c r="C340" s="68" t="s">
        <v>952</v>
      </c>
    </row>
    <row r="341" spans="1:3">
      <c r="A341" s="68">
        <v>341</v>
      </c>
      <c r="B341" s="68">
        <v>36</v>
      </c>
      <c r="C341" s="68" t="s">
        <v>950</v>
      </c>
    </row>
    <row r="342" spans="1:3">
      <c r="A342" s="68">
        <v>342</v>
      </c>
      <c r="B342" s="68">
        <v>27</v>
      </c>
      <c r="C342" s="68" t="s">
        <v>950</v>
      </c>
    </row>
    <row r="343" spans="1:3">
      <c r="A343" s="68">
        <v>343</v>
      </c>
      <c r="B343" s="68">
        <v>13</v>
      </c>
      <c r="C343" s="68" t="s">
        <v>951</v>
      </c>
    </row>
    <row r="344" spans="1:3">
      <c r="A344" s="68">
        <v>344</v>
      </c>
      <c r="B344" s="68"/>
      <c r="C344" s="68"/>
    </row>
    <row r="345" spans="1:3">
      <c r="A345" s="68">
        <v>345</v>
      </c>
      <c r="B345" s="68">
        <v>15</v>
      </c>
      <c r="C345" s="68" t="s">
        <v>951</v>
      </c>
    </row>
    <row r="346" spans="1:3">
      <c r="A346" s="68">
        <v>346</v>
      </c>
      <c r="B346" s="68">
        <v>26</v>
      </c>
      <c r="C346" s="68" t="s">
        <v>950</v>
      </c>
    </row>
    <row r="347" spans="1:3">
      <c r="A347" s="68">
        <v>347</v>
      </c>
      <c r="B347" s="68">
        <v>22</v>
      </c>
      <c r="C347" s="68" t="s">
        <v>951</v>
      </c>
    </row>
    <row r="348" spans="1:3">
      <c r="A348" s="68">
        <v>348</v>
      </c>
      <c r="B348" s="68">
        <v>26</v>
      </c>
      <c r="C348" s="68" t="s">
        <v>950</v>
      </c>
    </row>
    <row r="349" spans="1:3">
      <c r="A349" s="68">
        <v>349</v>
      </c>
      <c r="B349" s="68">
        <v>45</v>
      </c>
      <c r="C349" s="68" t="s">
        <v>950</v>
      </c>
    </row>
    <row r="350" spans="1:3">
      <c r="A350" s="68">
        <v>350</v>
      </c>
      <c r="B350" s="68">
        <v>5</v>
      </c>
      <c r="C350" s="68" t="s">
        <v>952</v>
      </c>
    </row>
    <row r="351" spans="1:3">
      <c r="A351" s="68">
        <v>351</v>
      </c>
      <c r="B351" s="68">
        <v>10</v>
      </c>
      <c r="C351" s="68" t="s">
        <v>952</v>
      </c>
    </row>
    <row r="352" spans="1:3">
      <c r="A352" s="68">
        <v>352</v>
      </c>
      <c r="B352" s="68">
        <v>39</v>
      </c>
      <c r="C352" s="68" t="s">
        <v>950</v>
      </c>
    </row>
    <row r="353" spans="1:3">
      <c r="A353" s="68">
        <v>353</v>
      </c>
      <c r="B353" s="68">
        <v>28</v>
      </c>
      <c r="C353" s="68" t="s">
        <v>950</v>
      </c>
    </row>
    <row r="354" spans="1:3">
      <c r="A354" s="68">
        <v>354</v>
      </c>
      <c r="B354" s="68">
        <v>14</v>
      </c>
      <c r="C354" s="68" t="s">
        <v>951</v>
      </c>
    </row>
    <row r="355" spans="1:3">
      <c r="A355" s="68">
        <v>355</v>
      </c>
      <c r="B355" s="68">
        <v>21</v>
      </c>
      <c r="C355" s="68" t="s">
        <v>951</v>
      </c>
    </row>
    <row r="356" spans="1:3">
      <c r="A356" s="68">
        <v>356</v>
      </c>
      <c r="B356" s="68">
        <v>22</v>
      </c>
      <c r="C356" s="68" t="s">
        <v>951</v>
      </c>
    </row>
    <row r="357" spans="1:3">
      <c r="A357" s="68">
        <v>357</v>
      </c>
      <c r="B357" s="68">
        <v>23</v>
      </c>
      <c r="C357" s="68" t="s">
        <v>951</v>
      </c>
    </row>
    <row r="358" spans="1:3">
      <c r="A358" s="68">
        <v>358</v>
      </c>
      <c r="B358" s="68">
        <v>17</v>
      </c>
      <c r="C358" s="68" t="s">
        <v>951</v>
      </c>
    </row>
    <row r="359" spans="1:3">
      <c r="A359" s="68">
        <v>359</v>
      </c>
      <c r="B359" s="68">
        <v>32</v>
      </c>
      <c r="C359" s="68" t="s">
        <v>950</v>
      </c>
    </row>
    <row r="360" spans="1:3">
      <c r="A360" s="68">
        <v>360</v>
      </c>
      <c r="B360" s="68">
        <v>36</v>
      </c>
      <c r="C360" s="68" t="s">
        <v>950</v>
      </c>
    </row>
    <row r="361" spans="1:3">
      <c r="A361" s="68">
        <v>361</v>
      </c>
      <c r="B361" s="68"/>
      <c r="C361" s="68"/>
    </row>
    <row r="362" spans="1:3">
      <c r="A362" s="68">
        <v>362</v>
      </c>
      <c r="B362" s="68">
        <v>16</v>
      </c>
      <c r="C362" s="68" t="s">
        <v>951</v>
      </c>
    </row>
    <row r="363" spans="1:3">
      <c r="A363" s="68">
        <v>363</v>
      </c>
      <c r="B363" s="68">
        <v>37</v>
      </c>
      <c r="C363" s="68" t="s">
        <v>950</v>
      </c>
    </row>
    <row r="364" spans="1:3">
      <c r="A364" s="68">
        <v>364</v>
      </c>
      <c r="B364" s="68">
        <v>44</v>
      </c>
      <c r="C364" s="68" t="s">
        <v>950</v>
      </c>
    </row>
    <row r="365" spans="1:3">
      <c r="A365" s="68">
        <v>365</v>
      </c>
      <c r="B365" s="68">
        <v>9</v>
      </c>
      <c r="C365" s="68" t="s">
        <v>952</v>
      </c>
    </row>
    <row r="366" spans="1:3">
      <c r="A366" s="68">
        <v>366</v>
      </c>
      <c r="B366" s="68">
        <v>5</v>
      </c>
      <c r="C366" s="68" t="s">
        <v>952</v>
      </c>
    </row>
    <row r="367" spans="1:3">
      <c r="A367" s="68">
        <v>367</v>
      </c>
      <c r="B367" s="68">
        <v>15</v>
      </c>
      <c r="C367" s="68" t="s">
        <v>951</v>
      </c>
    </row>
    <row r="368" spans="1:3">
      <c r="A368" s="68">
        <v>368</v>
      </c>
      <c r="B368" s="68">
        <v>17</v>
      </c>
      <c r="C368" s="68" t="s">
        <v>951</v>
      </c>
    </row>
    <row r="369" spans="1:3">
      <c r="A369" s="68">
        <v>369</v>
      </c>
      <c r="B369" s="68">
        <v>27</v>
      </c>
      <c r="C369" s="68" t="s">
        <v>950</v>
      </c>
    </row>
    <row r="370" spans="1:3">
      <c r="A370" s="68">
        <v>370</v>
      </c>
      <c r="B370" s="68">
        <v>11</v>
      </c>
      <c r="C370" s="68" t="s">
        <v>951</v>
      </c>
    </row>
    <row r="371" spans="1:3">
      <c r="A371" s="68">
        <v>371</v>
      </c>
      <c r="B371" s="68">
        <v>17</v>
      </c>
      <c r="C371" s="68" t="s">
        <v>951</v>
      </c>
    </row>
    <row r="372" spans="1:3">
      <c r="A372" s="68">
        <v>372</v>
      </c>
      <c r="B372" s="68">
        <v>40</v>
      </c>
      <c r="C372" s="68" t="s">
        <v>950</v>
      </c>
    </row>
    <row r="373" spans="1:3">
      <c r="A373" s="68">
        <v>373</v>
      </c>
      <c r="B373" s="68">
        <v>3</v>
      </c>
      <c r="C373" s="68" t="s">
        <v>952</v>
      </c>
    </row>
    <row r="374" spans="1:3">
      <c r="A374" s="68">
        <v>374</v>
      </c>
      <c r="B374" s="68">
        <v>27</v>
      </c>
      <c r="C374" s="68" t="s">
        <v>950</v>
      </c>
    </row>
    <row r="375" spans="1:3">
      <c r="A375" s="68">
        <v>375</v>
      </c>
      <c r="B375" s="68">
        <v>13</v>
      </c>
      <c r="C375" s="68" t="s">
        <v>951</v>
      </c>
    </row>
    <row r="376" spans="1:3">
      <c r="A376" s="68">
        <v>376</v>
      </c>
      <c r="B376" s="68">
        <v>41</v>
      </c>
      <c r="C376" s="68" t="s">
        <v>950</v>
      </c>
    </row>
    <row r="377" spans="1:3">
      <c r="A377" s="68">
        <v>377</v>
      </c>
      <c r="B377" s="68">
        <v>42</v>
      </c>
      <c r="C377" s="68" t="s">
        <v>950</v>
      </c>
    </row>
    <row r="378" spans="1:3">
      <c r="A378" s="68">
        <v>378</v>
      </c>
      <c r="B378" s="68">
        <v>34</v>
      </c>
      <c r="C378" s="68" t="s">
        <v>950</v>
      </c>
    </row>
    <row r="379" spans="1:3">
      <c r="A379" s="68">
        <v>379</v>
      </c>
      <c r="B379" s="68"/>
      <c r="C379" s="68"/>
    </row>
    <row r="380" spans="1:3">
      <c r="A380" s="68">
        <v>380</v>
      </c>
      <c r="B380" s="68">
        <v>9</v>
      </c>
      <c r="C380" s="68" t="s">
        <v>952</v>
      </c>
    </row>
    <row r="381" spans="1:3">
      <c r="A381" s="68">
        <v>381</v>
      </c>
      <c r="B381" s="68">
        <v>13</v>
      </c>
      <c r="C381" s="68" t="s">
        <v>951</v>
      </c>
    </row>
    <row r="382" spans="1:3">
      <c r="A382" s="68">
        <v>382</v>
      </c>
      <c r="B382" s="68">
        <v>20</v>
      </c>
      <c r="C382" s="68" t="s">
        <v>951</v>
      </c>
    </row>
    <row r="383" spans="1:3">
      <c r="A383" s="68">
        <v>383</v>
      </c>
      <c r="B383" s="68">
        <v>32</v>
      </c>
      <c r="C383" s="68" t="s">
        <v>950</v>
      </c>
    </row>
    <row r="384" spans="1:3">
      <c r="A384" s="68">
        <v>384</v>
      </c>
      <c r="B384" s="68"/>
      <c r="C384" s="68"/>
    </row>
    <row r="385" spans="1:3">
      <c r="A385" s="68">
        <v>385</v>
      </c>
      <c r="B385" s="68">
        <v>35</v>
      </c>
      <c r="C385" s="68" t="s">
        <v>950</v>
      </c>
    </row>
    <row r="386" spans="1:3">
      <c r="A386" s="68">
        <v>386</v>
      </c>
      <c r="B386" s="68">
        <v>18</v>
      </c>
      <c r="C386" s="68" t="s">
        <v>951</v>
      </c>
    </row>
    <row r="387" spans="1:3">
      <c r="A387" s="68">
        <v>387</v>
      </c>
      <c r="B387" s="68">
        <v>25</v>
      </c>
      <c r="C387" s="68" t="s">
        <v>951</v>
      </c>
    </row>
    <row r="388" spans="1:3">
      <c r="A388" s="68">
        <v>388</v>
      </c>
      <c r="B388" s="68">
        <v>22</v>
      </c>
      <c r="C388" s="68" t="s">
        <v>951</v>
      </c>
    </row>
    <row r="389" spans="1:3">
      <c r="A389" s="68">
        <v>389</v>
      </c>
      <c r="B389" s="68">
        <v>14</v>
      </c>
      <c r="C389" s="68" t="s">
        <v>951</v>
      </c>
    </row>
    <row r="390" spans="1:3">
      <c r="A390" s="68">
        <v>390</v>
      </c>
      <c r="B390" s="68">
        <v>44</v>
      </c>
      <c r="C390" s="68" t="s">
        <v>950</v>
      </c>
    </row>
    <row r="391" spans="1:3">
      <c r="A391" s="68">
        <v>391</v>
      </c>
      <c r="B391" s="68">
        <v>6</v>
      </c>
      <c r="C391" s="68" t="s">
        <v>952</v>
      </c>
    </row>
    <row r="392" spans="1:3">
      <c r="A392" s="68">
        <v>392</v>
      </c>
      <c r="B392" s="68">
        <v>1</v>
      </c>
      <c r="C392" s="68" t="s">
        <v>952</v>
      </c>
    </row>
    <row r="393" spans="1:3">
      <c r="A393" s="68">
        <v>393</v>
      </c>
      <c r="B393" s="68">
        <v>4</v>
      </c>
      <c r="C393" s="68" t="s">
        <v>952</v>
      </c>
    </row>
    <row r="394" spans="1:3">
      <c r="A394" s="68">
        <v>394</v>
      </c>
      <c r="B394" s="68">
        <v>2</v>
      </c>
      <c r="C394" s="68" t="s">
        <v>952</v>
      </c>
    </row>
    <row r="395" spans="1:3">
      <c r="A395" s="68">
        <v>395</v>
      </c>
      <c r="B395" s="68">
        <v>15</v>
      </c>
      <c r="C395" s="68" t="s">
        <v>951</v>
      </c>
    </row>
    <row r="396" spans="1:3">
      <c r="A396" s="68">
        <v>396</v>
      </c>
      <c r="B396" s="68">
        <v>9</v>
      </c>
      <c r="C396" s="68" t="s">
        <v>952</v>
      </c>
    </row>
    <row r="397" spans="1:3">
      <c r="A397" s="68">
        <v>397</v>
      </c>
      <c r="B397" s="68">
        <v>3</v>
      </c>
      <c r="C397" s="68" t="s">
        <v>952</v>
      </c>
    </row>
    <row r="398" spans="1:3">
      <c r="A398" s="68">
        <v>398</v>
      </c>
      <c r="B398" s="68">
        <v>9</v>
      </c>
      <c r="C398" s="68" t="s">
        <v>952</v>
      </c>
    </row>
    <row r="399" spans="1:3">
      <c r="A399" s="68">
        <v>399</v>
      </c>
      <c r="B399" s="68">
        <v>10</v>
      </c>
      <c r="C399" s="68" t="s">
        <v>952</v>
      </c>
    </row>
    <row r="400" spans="1:3">
      <c r="A400" s="68">
        <v>400</v>
      </c>
      <c r="B400" s="68">
        <v>31</v>
      </c>
      <c r="C400" s="68" t="s">
        <v>950</v>
      </c>
    </row>
    <row r="401" spans="1:3">
      <c r="A401" s="68">
        <v>401</v>
      </c>
      <c r="B401" s="68">
        <v>24</v>
      </c>
      <c r="C401" s="68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2026-09-13T20:42:03Z</dcterms:created>
  <dcterms:modified xsi:type="dcterms:W3CDTF">2026-09-13T22:02:29Z</dcterms:modified>
  <cp:category/>
  <cp:contentStatus/>
</cp:coreProperties>
</file>